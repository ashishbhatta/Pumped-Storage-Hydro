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mita\Desktop\excel calculations\"/>
    </mc:Choice>
  </mc:AlternateContent>
  <xr:revisionPtr revIDLastSave="0" documentId="13_ncr:1_{3EB2D226-A7EE-42DF-BFAD-2133AF606D3F}" xr6:coauthVersionLast="47" xr6:coauthVersionMax="47" xr10:uidLastSave="{00000000-0000-0000-0000-000000000000}"/>
  <bookViews>
    <workbookView xWindow="-108" yWindow="-108" windowWidth="23256" windowHeight="12456" xr2:uid="{B95A8822-E831-4A2E-B1BE-CAC76DA6BBBC}"/>
  </bookViews>
  <sheets>
    <sheet name="Day ahead clear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F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F21" i="1" s="1"/>
  <c r="E22" i="1"/>
  <c r="G22" i="1" s="1"/>
  <c r="E23" i="1"/>
  <c r="G23" i="1" s="1"/>
  <c r="E24" i="1"/>
  <c r="G24" i="1" s="1"/>
  <c r="E25" i="1"/>
  <c r="G25" i="1" s="1"/>
  <c r="E26" i="1"/>
  <c r="F26" i="1" s="1"/>
  <c r="E3" i="1"/>
  <c r="F3" i="1" s="1"/>
  <c r="G3" i="1" l="1"/>
  <c r="H3" i="1" s="1"/>
  <c r="F14" i="1"/>
  <c r="H14" i="1" s="1"/>
  <c r="G26" i="1"/>
  <c r="H26" i="1" s="1"/>
  <c r="F25" i="1"/>
  <c r="H25" i="1" s="1"/>
  <c r="F12" i="1"/>
  <c r="H12" i="1" s="1"/>
  <c r="F23" i="1"/>
  <c r="H23" i="1" s="1"/>
  <c r="G11" i="1"/>
  <c r="H11" i="1" s="1"/>
  <c r="F22" i="1"/>
  <c r="H22" i="1" s="1"/>
  <c r="F9" i="1"/>
  <c r="H9" i="1" s="1"/>
  <c r="G21" i="1"/>
  <c r="H21" i="1" s="1"/>
  <c r="F8" i="1"/>
  <c r="H8" i="1" s="1"/>
  <c r="F19" i="1"/>
  <c r="H19" i="1" s="1"/>
  <c r="F6" i="1"/>
  <c r="H6" i="1" s="1"/>
  <c r="F17" i="1"/>
  <c r="H17" i="1" s="1"/>
  <c r="F5" i="1"/>
  <c r="H5" i="1" s="1"/>
  <c r="F15" i="1"/>
  <c r="H15" i="1" s="1"/>
  <c r="F13" i="1"/>
  <c r="H13" i="1" s="1"/>
  <c r="F24" i="1"/>
  <c r="H24" i="1" s="1"/>
  <c r="F10" i="1"/>
  <c r="H10" i="1" s="1"/>
  <c r="F20" i="1"/>
  <c r="H20" i="1" s="1"/>
  <c r="F7" i="1"/>
  <c r="H7" i="1" s="1"/>
  <c r="F18" i="1"/>
  <c r="H18" i="1" s="1"/>
  <c r="F16" i="1"/>
  <c r="H16" i="1" s="1"/>
  <c r="F4" i="1"/>
  <c r="H4" i="1" s="1"/>
  <c r="H27" i="1" l="1"/>
</calcChain>
</file>

<file path=xl/sharedStrings.xml><?xml version="1.0" encoding="utf-8"?>
<sst xmlns="http://schemas.openxmlformats.org/spreadsheetml/2006/main" count="11" uniqueCount="11">
  <si>
    <t>Hour</t>
  </si>
  <si>
    <t>Net Revenue</t>
  </si>
  <si>
    <t>Charging Power (MW)</t>
  </si>
  <si>
    <t>Discharging Power (MW)</t>
  </si>
  <si>
    <t>Income (Indian Rupee)</t>
  </si>
  <si>
    <t>Expenditure (Indian Rupee)</t>
  </si>
  <si>
    <t>Revenue (Indian Rupee)</t>
  </si>
  <si>
    <t>Average Day Ahead Price(Indian Rupee/MW)</t>
  </si>
  <si>
    <t>IND/USD</t>
  </si>
  <si>
    <t>Average Day Ahead Price(USD/MW)</t>
  </si>
  <si>
    <t>Exchange rate of 1INR = 0.011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</si>
</sst>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Market Clearing Price [$/MWh]</c:v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'Day ahead clearance'!$E$3:$E$26</c:f>
              <c:numCache>
                <c:formatCode>General</c:formatCode>
                <c:ptCount val="24"/>
                <c:pt idx="0">
                  <c:v>40.38738</c:v>
                </c:pt>
                <c:pt idx="1">
                  <c:v>37.2119</c:v>
                </c:pt>
                <c:pt idx="2">
                  <c:v>32.283899999999996</c:v>
                </c:pt>
                <c:pt idx="3">
                  <c:v>31.114709999999999</c:v>
                </c:pt>
                <c:pt idx="4">
                  <c:v>28.164179999999998</c:v>
                </c:pt>
                <c:pt idx="5">
                  <c:v>30.575159999999997</c:v>
                </c:pt>
                <c:pt idx="6">
                  <c:v>37.12885</c:v>
                </c:pt>
                <c:pt idx="7">
                  <c:v>33.539769999999997</c:v>
                </c:pt>
                <c:pt idx="8">
                  <c:v>27.661919999999995</c:v>
                </c:pt>
                <c:pt idx="9">
                  <c:v>20.782849999999996</c:v>
                </c:pt>
                <c:pt idx="10">
                  <c:v>15.615599999999999</c:v>
                </c:pt>
                <c:pt idx="11">
                  <c:v>13.140599999999997</c:v>
                </c:pt>
                <c:pt idx="12">
                  <c:v>16.888849999999998</c:v>
                </c:pt>
                <c:pt idx="13">
                  <c:v>16.78886</c:v>
                </c:pt>
                <c:pt idx="14">
                  <c:v>17.886989999999997</c:v>
                </c:pt>
                <c:pt idx="15">
                  <c:v>26.339389999999995</c:v>
                </c:pt>
                <c:pt idx="16">
                  <c:v>29.134270000000001</c:v>
                </c:pt>
                <c:pt idx="17">
                  <c:v>29.833759999999998</c:v>
                </c:pt>
                <c:pt idx="18">
                  <c:v>40.829470000000001</c:v>
                </c:pt>
                <c:pt idx="19">
                  <c:v>59.164819999999999</c:v>
                </c:pt>
                <c:pt idx="20">
                  <c:v>54.7151</c:v>
                </c:pt>
                <c:pt idx="21">
                  <c:v>55.832699999999996</c:v>
                </c:pt>
                <c:pt idx="22">
                  <c:v>57.675749999999994</c:v>
                </c:pt>
                <c:pt idx="23">
                  <c:v>48.8675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6-4865-9656-8410EA5CB7DB}"/>
            </c:ext>
          </c:extLst>
        </c:ser>
        <c:ser>
          <c:idx val="1"/>
          <c:order val="1"/>
          <c:tx>
            <c:strRef>
              <c:f>'Day ahead clearance'!$B$2</c:f>
              <c:strCache>
                <c:ptCount val="1"/>
                <c:pt idx="0">
                  <c:v>Charging Power (MW)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'Day ahead clearance'!$B$3:$B$26</c:f>
              <c:numCache>
                <c:formatCode>0.00</c:formatCode>
                <c:ptCount val="24"/>
                <c:pt idx="0">
                  <c:v>27.777999999999999</c:v>
                </c:pt>
                <c:pt idx="1">
                  <c:v>0.24707000000000001</c:v>
                </c:pt>
                <c:pt idx="2">
                  <c:v>0.16672000000000001</c:v>
                </c:pt>
                <c:pt idx="3">
                  <c:v>0.10186000000000001</c:v>
                </c:pt>
                <c:pt idx="4">
                  <c:v>1.175</c:v>
                </c:pt>
                <c:pt idx="5">
                  <c:v>5.5785000000000003E-20</c:v>
                </c:pt>
                <c:pt idx="6">
                  <c:v>5.6067000000000001E-20</c:v>
                </c:pt>
                <c:pt idx="7">
                  <c:v>0.28044999999999998</c:v>
                </c:pt>
                <c:pt idx="8">
                  <c:v>1.3888999999999999E-4</c:v>
                </c:pt>
                <c:pt idx="9">
                  <c:v>12.435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5.0159000000000002</c:v>
                </c:pt>
                <c:pt idx="16">
                  <c:v>5.8331</c:v>
                </c:pt>
                <c:pt idx="17">
                  <c:v>4.5785999999999998</c:v>
                </c:pt>
                <c:pt idx="18">
                  <c:v>6.1106999999999996</c:v>
                </c:pt>
                <c:pt idx="19">
                  <c:v>8.9391000000000004E-21</c:v>
                </c:pt>
                <c:pt idx="20">
                  <c:v>5.5540999999999998E-21</c:v>
                </c:pt>
                <c:pt idx="21">
                  <c:v>5.4688999999999997E-21</c:v>
                </c:pt>
                <c:pt idx="22">
                  <c:v>5.1051E-21</c:v>
                </c:pt>
                <c:pt idx="23">
                  <c:v>7.0934999999999994E-21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6-4865-9656-8410EA5CB7DB}"/>
            </c:ext>
          </c:extLst>
        </c:ser>
        <c:ser>
          <c:idx val="2"/>
          <c:order val="2"/>
          <c:tx>
            <c:strRef>
              <c:f>'Day ahead clearance'!$C$2</c:f>
              <c:strCache>
                <c:ptCount val="1"/>
                <c:pt idx="0">
                  <c:v>Discharging Power (MW)</c:v>
                </c:pt>
              </c:strCache>
            </c:strRef>
          </c:tx>
          <c:spPr>
            <a:ln w="444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'Day ahead clearance'!$C$3:$C$26</c:f>
              <c:numCache>
                <c:formatCode>0.00</c:formatCode>
                <c:ptCount val="24"/>
                <c:pt idx="0">
                  <c:v>8.6746000000000006E-21</c:v>
                </c:pt>
                <c:pt idx="1">
                  <c:v>1.3107E-20</c:v>
                </c:pt>
                <c:pt idx="2">
                  <c:v>1.3034E-20</c:v>
                </c:pt>
                <c:pt idx="3">
                  <c:v>1.2541999999999999E-20</c:v>
                </c:pt>
                <c:pt idx="4">
                  <c:v>1.5434E-20</c:v>
                </c:pt>
                <c:pt idx="5">
                  <c:v>7.1477E-20</c:v>
                </c:pt>
                <c:pt idx="6">
                  <c:v>9.2451000000000005E-20</c:v>
                </c:pt>
                <c:pt idx="7">
                  <c:v>3.2933999999999997E-20</c:v>
                </c:pt>
                <c:pt idx="8">
                  <c:v>1.3927E-20</c:v>
                </c:pt>
                <c:pt idx="9">
                  <c:v>1.8474999999999999E-20</c:v>
                </c:pt>
                <c:pt idx="10">
                  <c:v>1.4561999999999999E-20</c:v>
                </c:pt>
                <c:pt idx="11">
                  <c:v>1.3557E-20</c:v>
                </c:pt>
                <c:pt idx="12">
                  <c:v>1.2017E-20</c:v>
                </c:pt>
                <c:pt idx="13">
                  <c:v>1.0436E-20</c:v>
                </c:pt>
                <c:pt idx="14">
                  <c:v>1.4339999999999999E-20</c:v>
                </c:pt>
                <c:pt idx="15">
                  <c:v>1.6841999999999999E-20</c:v>
                </c:pt>
                <c:pt idx="16">
                  <c:v>1.4953000000000001E-20</c:v>
                </c:pt>
                <c:pt idx="17">
                  <c:v>1.3069E-20</c:v>
                </c:pt>
                <c:pt idx="18">
                  <c:v>1.001E-20</c:v>
                </c:pt>
                <c:pt idx="19">
                  <c:v>70.980999999999995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33.164999999999999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86-4865-9656-8410EA5CB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533856"/>
        <c:axId val="1552533376"/>
      </c:scatterChart>
      <c:valAx>
        <c:axId val="1552533856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533376"/>
        <c:crosses val="autoZero"/>
        <c:crossBetween val="midCat"/>
      </c:valAx>
      <c:valAx>
        <c:axId val="155253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Power [MW],Price[$/MWh]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53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706582</xdr:colOff>
      <xdr:row>4</xdr:row>
      <xdr:rowOff>30478</xdr:rowOff>
    </xdr:from>
    <xdr:to>
      <xdr:col>15</xdr:col>
      <xdr:colOff>360218</xdr:colOff>
      <xdr:row>39</xdr:row>
      <xdr:rowOff>27709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A2C791-A467-D2C5-4D00-E356DB276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ECFC-F474-4714-9BAF-6BF2632A9645}">
  <dimension ref="A1:H27"/>
  <sheetViews>
    <sheetView tabSelected="1" zoomScale="55" zoomScaleNormal="55" workbookViewId="0">
      <selection activeCell="J41" sqref="J41"/>
    </sheetView>
  </sheetViews>
  <sheetFormatPr defaultRowHeight="18" x14ac:dyDescent="0.35"/>
  <cols>
    <col min="1" max="1" width="7.58203125" bestFit="1" customWidth="1"/>
    <col min="2" max="2" width="18" bestFit="1" customWidth="1"/>
    <col min="3" max="3" width="27.58203125" bestFit="1" customWidth="1"/>
    <col min="4" max="4" width="36" customWidth="1"/>
    <col min="5" max="5" width="18.83203125" customWidth="1"/>
    <col min="6" max="6" width="17.4140625" customWidth="1"/>
    <col min="7" max="7" width="10.33203125" bestFit="1" customWidth="1"/>
    <col min="8" max="8" width="19.6640625" bestFit="1" customWidth="1"/>
  </cols>
  <sheetData>
    <row r="1" spans="1:8" x14ac:dyDescent="0.35">
      <c r="A1" t="s">
        <v>8</v>
      </c>
      <c r="B1">
        <v>1.0999999999999999E-2</v>
      </c>
      <c r="C1" t="s">
        <v>10</v>
      </c>
    </row>
    <row r="2" spans="1:8" x14ac:dyDescent="0.35">
      <c r="A2" s="1" t="s">
        <v>0</v>
      </c>
      <c r="B2" s="1" t="s">
        <v>2</v>
      </c>
      <c r="C2" s="1" t="s">
        <v>3</v>
      </c>
      <c r="D2" s="1" t="s">
        <v>7</v>
      </c>
      <c r="E2" s="1" t="s">
        <v>9</v>
      </c>
      <c r="F2" s="1" t="s">
        <v>4</v>
      </c>
      <c r="G2" s="1" t="s">
        <v>5</v>
      </c>
      <c r="H2" s="1" t="s">
        <v>6</v>
      </c>
    </row>
    <row r="3" spans="1:8" x14ac:dyDescent="0.35">
      <c r="A3" s="2">
        <v>1</v>
      </c>
      <c r="B3" s="3">
        <v>27.777999999999999</v>
      </c>
      <c r="C3" s="3">
        <v>8.6746000000000006E-21</v>
      </c>
      <c r="D3" s="2">
        <v>3671.58</v>
      </c>
      <c r="E3">
        <f t="shared" ref="E3:E26" si="0">D3*$B$1</f>
        <v>40.38738</v>
      </c>
      <c r="F3" s="3">
        <f>C3*E3</f>
        <v>3.5034436654800004E-19</v>
      </c>
      <c r="G3" s="3">
        <f>E3*B3</f>
        <v>1121.88064164</v>
      </c>
      <c r="H3" s="3">
        <f>F3-G3</f>
        <v>-1121.88064164</v>
      </c>
    </row>
    <row r="4" spans="1:8" x14ac:dyDescent="0.35">
      <c r="A4" s="2">
        <v>2</v>
      </c>
      <c r="B4" s="3">
        <v>0.24707000000000001</v>
      </c>
      <c r="C4" s="3">
        <v>1.3107E-20</v>
      </c>
      <c r="D4" s="2">
        <v>3382.9</v>
      </c>
      <c r="E4">
        <f t="shared" si="0"/>
        <v>37.2119</v>
      </c>
      <c r="F4" s="3">
        <f t="shared" ref="F4:F26" si="1">C4*E4</f>
        <v>4.877363733E-19</v>
      </c>
      <c r="G4" s="3">
        <f t="shared" ref="G4:G26" si="2">E4*B4</f>
        <v>9.1939441330000005</v>
      </c>
      <c r="H4" s="3">
        <f t="shared" ref="H4:H26" si="3">F4-G4</f>
        <v>-9.1939441330000005</v>
      </c>
    </row>
    <row r="5" spans="1:8" x14ac:dyDescent="0.35">
      <c r="A5" s="2">
        <v>3</v>
      </c>
      <c r="B5" s="3">
        <v>0.16672000000000001</v>
      </c>
      <c r="C5" s="3">
        <v>1.3034E-20</v>
      </c>
      <c r="D5" s="2">
        <v>2934.9</v>
      </c>
      <c r="E5">
        <f t="shared" si="0"/>
        <v>32.283899999999996</v>
      </c>
      <c r="F5" s="3">
        <f t="shared" si="1"/>
        <v>4.2078835259999998E-19</v>
      </c>
      <c r="G5" s="3">
        <f t="shared" si="2"/>
        <v>5.3823718079999994</v>
      </c>
      <c r="H5" s="3">
        <f t="shared" si="3"/>
        <v>-5.3823718079999994</v>
      </c>
    </row>
    <row r="6" spans="1:8" x14ac:dyDescent="0.35">
      <c r="A6" s="2">
        <v>4</v>
      </c>
      <c r="B6" s="3">
        <v>0.10186000000000001</v>
      </c>
      <c r="C6" s="3">
        <v>1.2541999999999999E-20</v>
      </c>
      <c r="D6" s="2">
        <v>2828.61</v>
      </c>
      <c r="E6">
        <f t="shared" si="0"/>
        <v>31.114709999999999</v>
      </c>
      <c r="F6" s="3">
        <f t="shared" si="1"/>
        <v>3.9024069281999997E-19</v>
      </c>
      <c r="G6" s="3">
        <f t="shared" si="2"/>
        <v>3.1693443606000002</v>
      </c>
      <c r="H6" s="3">
        <f t="shared" si="3"/>
        <v>-3.1693443606000002</v>
      </c>
    </row>
    <row r="7" spans="1:8" x14ac:dyDescent="0.35">
      <c r="A7" s="2">
        <v>5</v>
      </c>
      <c r="B7" s="3">
        <v>1.175</v>
      </c>
      <c r="C7" s="3">
        <v>1.5434E-20</v>
      </c>
      <c r="D7" s="2">
        <v>2560.38</v>
      </c>
      <c r="E7">
        <f t="shared" si="0"/>
        <v>28.164179999999998</v>
      </c>
      <c r="F7" s="3">
        <f t="shared" si="1"/>
        <v>4.3468595411999996E-19</v>
      </c>
      <c r="G7" s="3">
        <f t="shared" si="2"/>
        <v>33.0929115</v>
      </c>
      <c r="H7" s="3">
        <f t="shared" si="3"/>
        <v>-33.0929115</v>
      </c>
    </row>
    <row r="8" spans="1:8" x14ac:dyDescent="0.35">
      <c r="A8" s="2">
        <v>6</v>
      </c>
      <c r="B8" s="3">
        <v>5.5785000000000003E-20</v>
      </c>
      <c r="C8" s="3">
        <v>7.1477E-20</v>
      </c>
      <c r="D8" s="2">
        <v>2779.56</v>
      </c>
      <c r="E8">
        <f t="shared" si="0"/>
        <v>30.575159999999997</v>
      </c>
      <c r="F8" s="3">
        <f t="shared" si="1"/>
        <v>2.1854207113199999E-18</v>
      </c>
      <c r="G8" s="3">
        <f t="shared" si="2"/>
        <v>1.7056353005999999E-18</v>
      </c>
      <c r="H8" s="3">
        <f t="shared" si="3"/>
        <v>4.7978541072E-19</v>
      </c>
    </row>
    <row r="9" spans="1:8" x14ac:dyDescent="0.35">
      <c r="A9" s="2">
        <v>7</v>
      </c>
      <c r="B9" s="3">
        <v>5.6067000000000001E-20</v>
      </c>
      <c r="C9" s="3">
        <v>9.2451000000000005E-20</v>
      </c>
      <c r="D9" s="2">
        <v>3375.35</v>
      </c>
      <c r="E9">
        <f t="shared" si="0"/>
        <v>37.12885</v>
      </c>
      <c r="F9" s="3">
        <f t="shared" si="1"/>
        <v>3.4325993113500001E-18</v>
      </c>
      <c r="G9" s="3">
        <f t="shared" si="2"/>
        <v>2.0817032329500001E-18</v>
      </c>
      <c r="H9" s="3">
        <f t="shared" si="3"/>
        <v>1.3508960784E-18</v>
      </c>
    </row>
    <row r="10" spans="1:8" x14ac:dyDescent="0.35">
      <c r="A10" s="2">
        <v>8</v>
      </c>
      <c r="B10" s="3">
        <v>0.28044999999999998</v>
      </c>
      <c r="C10" s="3">
        <v>3.2933999999999997E-20</v>
      </c>
      <c r="D10" s="2">
        <v>3049.07</v>
      </c>
      <c r="E10">
        <f t="shared" si="0"/>
        <v>33.539769999999997</v>
      </c>
      <c r="F10" s="3">
        <f t="shared" si="1"/>
        <v>1.1045987851799998E-18</v>
      </c>
      <c r="G10" s="3">
        <f t="shared" si="2"/>
        <v>9.4062284964999989</v>
      </c>
      <c r="H10" s="3">
        <f t="shared" si="3"/>
        <v>-9.4062284964999989</v>
      </c>
    </row>
    <row r="11" spans="1:8" x14ac:dyDescent="0.35">
      <c r="A11" s="2">
        <v>9</v>
      </c>
      <c r="B11" s="3">
        <v>1.3888999999999999E-4</v>
      </c>
      <c r="C11" s="3">
        <v>1.3927E-20</v>
      </c>
      <c r="D11" s="2">
        <v>2514.7199999999998</v>
      </c>
      <c r="E11">
        <f t="shared" si="0"/>
        <v>27.661919999999995</v>
      </c>
      <c r="F11" s="3">
        <f t="shared" si="1"/>
        <v>3.8524755983999995E-19</v>
      </c>
      <c r="G11" s="3">
        <f t="shared" si="2"/>
        <v>3.8419640687999989E-3</v>
      </c>
      <c r="H11" s="3">
        <f t="shared" si="3"/>
        <v>-3.8419640687999985E-3</v>
      </c>
    </row>
    <row r="12" spans="1:8" x14ac:dyDescent="0.35">
      <c r="A12" s="2">
        <v>10</v>
      </c>
      <c r="B12" s="3">
        <v>12.435</v>
      </c>
      <c r="C12" s="3">
        <v>1.8474999999999999E-20</v>
      </c>
      <c r="D12" s="2">
        <v>1889.35</v>
      </c>
      <c r="E12">
        <f t="shared" si="0"/>
        <v>20.782849999999996</v>
      </c>
      <c r="F12" s="3">
        <f t="shared" si="1"/>
        <v>3.839631537499999E-19</v>
      </c>
      <c r="G12" s="3">
        <f t="shared" si="2"/>
        <v>258.43473974999995</v>
      </c>
      <c r="H12" s="3">
        <f t="shared" si="3"/>
        <v>-258.43473974999995</v>
      </c>
    </row>
    <row r="13" spans="1:8" x14ac:dyDescent="0.35">
      <c r="A13" s="2">
        <v>11</v>
      </c>
      <c r="B13" s="3">
        <v>100</v>
      </c>
      <c r="C13" s="3">
        <v>1.4561999999999999E-20</v>
      </c>
      <c r="D13" s="2">
        <v>1419.6</v>
      </c>
      <c r="E13">
        <f t="shared" si="0"/>
        <v>15.615599999999999</v>
      </c>
      <c r="F13" s="3">
        <f t="shared" si="1"/>
        <v>2.2739436719999999E-19</v>
      </c>
      <c r="G13" s="3">
        <f t="shared" si="2"/>
        <v>1561.56</v>
      </c>
      <c r="H13" s="3">
        <f t="shared" si="3"/>
        <v>-1561.56</v>
      </c>
    </row>
    <row r="14" spans="1:8" x14ac:dyDescent="0.35">
      <c r="A14" s="2">
        <v>12</v>
      </c>
      <c r="B14" s="3">
        <v>100</v>
      </c>
      <c r="C14" s="3">
        <v>1.3557E-20</v>
      </c>
      <c r="D14" s="2">
        <v>1194.5999999999999</v>
      </c>
      <c r="E14">
        <f t="shared" si="0"/>
        <v>13.140599999999997</v>
      </c>
      <c r="F14" s="3">
        <f t="shared" si="1"/>
        <v>1.7814711419999996E-19</v>
      </c>
      <c r="G14" s="3">
        <f t="shared" si="2"/>
        <v>1314.0599999999997</v>
      </c>
      <c r="H14" s="3">
        <f t="shared" si="3"/>
        <v>-1314.0599999999997</v>
      </c>
    </row>
    <row r="15" spans="1:8" x14ac:dyDescent="0.35">
      <c r="A15" s="2">
        <v>13</v>
      </c>
      <c r="B15" s="3">
        <v>100</v>
      </c>
      <c r="C15" s="3">
        <v>1.2017E-20</v>
      </c>
      <c r="D15" s="2">
        <v>1535.35</v>
      </c>
      <c r="E15">
        <f t="shared" si="0"/>
        <v>16.888849999999998</v>
      </c>
      <c r="F15" s="3">
        <f t="shared" si="1"/>
        <v>2.0295331044999998E-19</v>
      </c>
      <c r="G15" s="3">
        <f t="shared" si="2"/>
        <v>1688.8849999999998</v>
      </c>
      <c r="H15" s="3">
        <f t="shared" si="3"/>
        <v>-1688.8849999999998</v>
      </c>
    </row>
    <row r="16" spans="1:8" x14ac:dyDescent="0.35">
      <c r="A16" s="2">
        <v>14</v>
      </c>
      <c r="B16" s="3">
        <v>100</v>
      </c>
      <c r="C16" s="3">
        <v>1.0436E-20</v>
      </c>
      <c r="D16" s="2">
        <v>1526.26</v>
      </c>
      <c r="E16">
        <f t="shared" si="0"/>
        <v>16.78886</v>
      </c>
      <c r="F16" s="3">
        <f t="shared" si="1"/>
        <v>1.7520854296E-19</v>
      </c>
      <c r="G16" s="3">
        <f t="shared" si="2"/>
        <v>1678.886</v>
      </c>
      <c r="H16" s="3">
        <f t="shared" si="3"/>
        <v>-1678.886</v>
      </c>
    </row>
    <row r="17" spans="1:8" x14ac:dyDescent="0.35">
      <c r="A17" s="2">
        <v>15</v>
      </c>
      <c r="B17" s="3">
        <v>100</v>
      </c>
      <c r="C17" s="3">
        <v>1.4339999999999999E-20</v>
      </c>
      <c r="D17" s="2">
        <v>1626.09</v>
      </c>
      <c r="E17">
        <f t="shared" si="0"/>
        <v>17.886989999999997</v>
      </c>
      <c r="F17" s="3">
        <f t="shared" si="1"/>
        <v>2.5649943659999992E-19</v>
      </c>
      <c r="G17" s="3">
        <f t="shared" si="2"/>
        <v>1788.6989999999996</v>
      </c>
      <c r="H17" s="3">
        <f t="shared" si="3"/>
        <v>-1788.6989999999996</v>
      </c>
    </row>
    <row r="18" spans="1:8" x14ac:dyDescent="0.35">
      <c r="A18" s="2">
        <v>16</v>
      </c>
      <c r="B18" s="3">
        <v>5.0159000000000002</v>
      </c>
      <c r="C18" s="3">
        <v>1.6841999999999999E-20</v>
      </c>
      <c r="D18" s="2">
        <v>2394.4899999999998</v>
      </c>
      <c r="E18">
        <f t="shared" si="0"/>
        <v>26.339389999999995</v>
      </c>
      <c r="F18" s="3">
        <f t="shared" si="1"/>
        <v>4.4360800637999985E-19</v>
      </c>
      <c r="G18" s="3">
        <f t="shared" si="2"/>
        <v>132.11574630099997</v>
      </c>
      <c r="H18" s="3">
        <f t="shared" si="3"/>
        <v>-132.11574630099997</v>
      </c>
    </row>
    <row r="19" spans="1:8" x14ac:dyDescent="0.35">
      <c r="A19" s="2">
        <v>17</v>
      </c>
      <c r="B19" s="3">
        <v>5.8331</v>
      </c>
      <c r="C19" s="3">
        <v>1.4953000000000001E-20</v>
      </c>
      <c r="D19" s="2">
        <v>2648.57</v>
      </c>
      <c r="E19">
        <f t="shared" si="0"/>
        <v>29.134270000000001</v>
      </c>
      <c r="F19" s="3">
        <f t="shared" si="1"/>
        <v>4.3564473931000001E-19</v>
      </c>
      <c r="G19" s="3">
        <f t="shared" si="2"/>
        <v>169.94311033700001</v>
      </c>
      <c r="H19" s="3">
        <f t="shared" si="3"/>
        <v>-169.94311033700001</v>
      </c>
    </row>
    <row r="20" spans="1:8" x14ac:dyDescent="0.35">
      <c r="A20" s="2">
        <v>18</v>
      </c>
      <c r="B20" s="3">
        <v>4.5785999999999998</v>
      </c>
      <c r="C20" s="3">
        <v>1.3069E-20</v>
      </c>
      <c r="D20" s="2">
        <v>2712.16</v>
      </c>
      <c r="E20">
        <f t="shared" si="0"/>
        <v>29.833759999999998</v>
      </c>
      <c r="F20" s="3">
        <f t="shared" si="1"/>
        <v>3.8989740943999996E-19</v>
      </c>
      <c r="G20" s="3">
        <f t="shared" si="2"/>
        <v>136.596853536</v>
      </c>
      <c r="H20" s="3">
        <f t="shared" si="3"/>
        <v>-136.596853536</v>
      </c>
    </row>
    <row r="21" spans="1:8" x14ac:dyDescent="0.35">
      <c r="A21" s="2">
        <v>19</v>
      </c>
      <c r="B21" s="3">
        <v>6.1106999999999996</v>
      </c>
      <c r="C21" s="3">
        <v>1.001E-20</v>
      </c>
      <c r="D21" s="2">
        <v>3711.77</v>
      </c>
      <c r="E21">
        <f t="shared" si="0"/>
        <v>40.829470000000001</v>
      </c>
      <c r="F21" s="3">
        <f t="shared" si="1"/>
        <v>4.0870299469999999E-19</v>
      </c>
      <c r="G21" s="3">
        <f t="shared" si="2"/>
        <v>249.496642329</v>
      </c>
      <c r="H21" s="3">
        <f t="shared" si="3"/>
        <v>-249.496642329</v>
      </c>
    </row>
    <row r="22" spans="1:8" x14ac:dyDescent="0.35">
      <c r="A22" s="2">
        <v>20</v>
      </c>
      <c r="B22" s="3">
        <v>8.9391000000000004E-21</v>
      </c>
      <c r="C22" s="3">
        <v>70.980999999999995</v>
      </c>
      <c r="D22" s="2">
        <v>5378.62</v>
      </c>
      <c r="E22">
        <f t="shared" si="0"/>
        <v>59.164819999999999</v>
      </c>
      <c r="F22" s="3">
        <f t="shared" si="1"/>
        <v>4199.5780884199994</v>
      </c>
      <c r="G22" s="3">
        <f t="shared" si="2"/>
        <v>5.2888024246199999E-19</v>
      </c>
      <c r="H22" s="3">
        <f t="shared" si="3"/>
        <v>4199.5780884199994</v>
      </c>
    </row>
    <row r="23" spans="1:8" x14ac:dyDescent="0.35">
      <c r="A23" s="2">
        <v>21</v>
      </c>
      <c r="B23" s="3">
        <v>5.5540999999999998E-21</v>
      </c>
      <c r="C23" s="3">
        <v>100</v>
      </c>
      <c r="D23" s="2">
        <v>4974.1000000000004</v>
      </c>
      <c r="E23">
        <f t="shared" si="0"/>
        <v>54.7151</v>
      </c>
      <c r="F23" s="3">
        <f t="shared" si="1"/>
        <v>5471.51</v>
      </c>
      <c r="G23" s="3">
        <f t="shared" si="2"/>
        <v>3.0389313691E-19</v>
      </c>
      <c r="H23" s="3">
        <f t="shared" si="3"/>
        <v>5471.51</v>
      </c>
    </row>
    <row r="24" spans="1:8" x14ac:dyDescent="0.35">
      <c r="A24" s="2">
        <v>22</v>
      </c>
      <c r="B24" s="3">
        <v>5.4688999999999997E-21</v>
      </c>
      <c r="C24" s="3">
        <v>100</v>
      </c>
      <c r="D24" s="2">
        <v>5075.7</v>
      </c>
      <c r="E24">
        <f t="shared" si="0"/>
        <v>55.832699999999996</v>
      </c>
      <c r="F24" s="3">
        <f t="shared" si="1"/>
        <v>5583.2699999999995</v>
      </c>
      <c r="G24" s="3">
        <f t="shared" si="2"/>
        <v>3.0534345302999996E-19</v>
      </c>
      <c r="H24" s="3">
        <f t="shared" si="3"/>
        <v>5583.2699999999995</v>
      </c>
    </row>
    <row r="25" spans="1:8" x14ac:dyDescent="0.35">
      <c r="A25" s="2">
        <v>23</v>
      </c>
      <c r="B25" s="3">
        <v>5.1051E-21</v>
      </c>
      <c r="C25" s="3">
        <v>100</v>
      </c>
      <c r="D25" s="2">
        <v>5243.25</v>
      </c>
      <c r="E25">
        <f t="shared" si="0"/>
        <v>57.675749999999994</v>
      </c>
      <c r="F25" s="3">
        <f t="shared" si="1"/>
        <v>5767.5749999999989</v>
      </c>
      <c r="G25" s="3">
        <f t="shared" si="2"/>
        <v>2.9444047132499995E-19</v>
      </c>
      <c r="H25" s="3">
        <f t="shared" si="3"/>
        <v>5767.5749999999989</v>
      </c>
    </row>
    <row r="26" spans="1:8" x14ac:dyDescent="0.35">
      <c r="A26" s="2">
        <v>24</v>
      </c>
      <c r="B26" s="3">
        <v>7.0934999999999994E-21</v>
      </c>
      <c r="C26" s="3">
        <v>33.164999999999999</v>
      </c>
      <c r="D26" s="2">
        <v>4442.5</v>
      </c>
      <c r="E26">
        <f t="shared" si="0"/>
        <v>48.8675</v>
      </c>
      <c r="F26" s="3">
        <f t="shared" si="1"/>
        <v>1620.6906374999999</v>
      </c>
      <c r="G26" s="3">
        <f t="shared" si="2"/>
        <v>3.4664161124999996E-19</v>
      </c>
      <c r="H26" s="3">
        <f t="shared" si="3"/>
        <v>1620.6906374999999</v>
      </c>
    </row>
    <row r="27" spans="1:8" x14ac:dyDescent="0.35">
      <c r="A27" s="2"/>
      <c r="B27" s="2"/>
      <c r="C27" s="2"/>
      <c r="D27" s="1" t="s">
        <v>1</v>
      </c>
      <c r="E27" s="1"/>
      <c r="F27" s="1"/>
      <c r="G27" s="1"/>
      <c r="H27" s="4">
        <f>SUM(H3:H26)</f>
        <v>12481.817349764828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ahead clearance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Bhatta</dc:creator>
  <cp:lastModifiedBy>Ashish Bhatta</cp:lastModifiedBy>
  <dcterms:created xsi:type="dcterms:W3CDTF">2025-11-07T13:46:30Z</dcterms:created>
  <dcterms:modified xsi:type="dcterms:W3CDTF">2025-11-17T15:38:27Z</dcterms:modified>
</cp:coreProperties>
</file>