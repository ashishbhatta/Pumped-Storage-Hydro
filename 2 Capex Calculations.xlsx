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mita\Desktop\excel calculations\"/>
    </mc:Choice>
  </mc:AlternateContent>
  <xr:revisionPtr revIDLastSave="0" documentId="13_ncr:1_{F8998A66-94FC-4E3F-87B4-C8ACE50D0140}" xr6:coauthVersionLast="47" xr6:coauthVersionMax="47" xr10:uidLastSave="{00000000-0000-0000-0000-000000000000}"/>
  <bookViews>
    <workbookView xWindow="-108" yWindow="-108" windowWidth="23256" windowHeight="12456" firstSheet="2" activeTab="11" xr2:uid="{9BF59386-6D0F-4DEC-8777-1183BA79FF4E}"/>
  </bookViews>
  <sheets>
    <sheet name="NREL" sheetId="1" state="hidden" r:id="rId1"/>
    <sheet name="Plant Output charac" sheetId="11" state="hidden" r:id="rId2"/>
    <sheet name="Plant Specifications" sheetId="12" r:id="rId3"/>
    <sheet name="NEA Tariff" sheetId="10" r:id="rId4"/>
    <sheet name="Plant Sizing based on NREL" sheetId="9" state="hidden" r:id="rId5"/>
    <sheet name="ENTURA" sheetId="2" state="hidden" r:id="rId6"/>
    <sheet name="Sheet2" sheetId="3" state="hidden" r:id="rId7"/>
    <sheet name="Sheet3" sheetId="4" state="hidden" r:id="rId8"/>
    <sheet name="Costing Entura" sheetId="5" state="hidden" r:id="rId9"/>
    <sheet name="Black &amp;" sheetId="6" state="hidden" r:id="rId10"/>
    <sheet name="NREL Direct" sheetId="8" state="hidden" r:id="rId11"/>
    <sheet name="CAPEX Estimation" sheetId="7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0" l="1"/>
  <c r="E3" i="10"/>
  <c r="G3" i="12" l="1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" i="12"/>
  <c r="D37" i="11"/>
  <c r="D36" i="11"/>
  <c r="D35" i="11"/>
  <c r="D31" i="11"/>
  <c r="D32" i="11"/>
  <c r="D33" i="11"/>
  <c r="D30" i="11"/>
  <c r="D21" i="11"/>
  <c r="D22" i="11"/>
  <c r="D23" i="11"/>
  <c r="D24" i="11"/>
  <c r="D19" i="11"/>
  <c r="D20" i="11"/>
  <c r="D16" i="11"/>
  <c r="D14" i="11"/>
  <c r="D13" i="11"/>
  <c r="D6" i="11"/>
  <c r="D5" i="11"/>
  <c r="D2" i="11"/>
  <c r="K17" i="11"/>
  <c r="K18" i="11"/>
  <c r="K19" i="11"/>
  <c r="K20" i="11"/>
  <c r="K21" i="11"/>
  <c r="K24" i="11"/>
  <c r="D12" i="11" s="1"/>
  <c r="K25" i="11"/>
  <c r="K26" i="11"/>
  <c r="D7" i="11" s="1"/>
  <c r="K16" i="11"/>
  <c r="D11" i="11" s="1"/>
  <c r="D3" i="11" l="1"/>
  <c r="D4" i="11"/>
  <c r="D9" i="11"/>
  <c r="D10" i="11"/>
  <c r="M13" i="9" l="1"/>
  <c r="M11" i="9"/>
  <c r="M9" i="9"/>
  <c r="M8" i="9"/>
  <c r="E7" i="7" l="1"/>
  <c r="E6" i="7"/>
  <c r="E5" i="7"/>
  <c r="E4" i="7"/>
  <c r="E3" i="7"/>
  <c r="E2" i="7" l="1"/>
  <c r="E9" i="7" s="1"/>
  <c r="D7" i="8"/>
  <c r="D8" i="8"/>
  <c r="D9" i="8"/>
  <c r="D10" i="8"/>
  <c r="D11" i="8"/>
  <c r="D6" i="8"/>
  <c r="C7" i="8"/>
  <c r="C8" i="8"/>
  <c r="C9" i="8"/>
  <c r="C10" i="8"/>
  <c r="C11" i="8"/>
  <c r="C6" i="8"/>
  <c r="H7" i="8"/>
  <c r="D8" i="6" l="1"/>
  <c r="D9" i="6"/>
  <c r="D10" i="6"/>
  <c r="D11" i="6"/>
  <c r="D12" i="6"/>
  <c r="D7" i="6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9" i="5"/>
  <c r="C10" i="5"/>
  <c r="C11" i="5"/>
  <c r="D11" i="5" s="1"/>
  <c r="C12" i="5"/>
  <c r="D12" i="5" s="1"/>
  <c r="C13" i="5"/>
  <c r="D13" i="5" s="1"/>
  <c r="C14" i="5"/>
  <c r="C15" i="5"/>
  <c r="C16" i="5"/>
  <c r="D16" i="5" s="1"/>
  <c r="C17" i="5"/>
  <c r="D17" i="5" s="1"/>
  <c r="C18" i="5"/>
  <c r="D18" i="5" s="1"/>
  <c r="C19" i="5"/>
  <c r="D19" i="5" s="1"/>
  <c r="C20" i="5"/>
  <c r="D20" i="5" s="1"/>
  <c r="C21" i="5"/>
  <c r="D21" i="5" s="1"/>
  <c r="C22" i="5"/>
  <c r="C23" i="5"/>
  <c r="D23" i="5" s="1"/>
  <c r="C24" i="5"/>
  <c r="D24" i="5" s="1"/>
  <c r="C25" i="5"/>
  <c r="D25" i="5" s="1"/>
  <c r="C26" i="5"/>
  <c r="D26" i="5" s="1"/>
  <c r="C27" i="5"/>
  <c r="D27" i="5" s="1"/>
  <c r="C28" i="5"/>
  <c r="D28" i="5" s="1"/>
  <c r="C29" i="5"/>
  <c r="D29" i="5" s="1"/>
  <c r="C9" i="5"/>
  <c r="D9" i="5" s="1"/>
  <c r="D10" i="5"/>
  <c r="D14" i="5"/>
  <c r="D15" i="5"/>
  <c r="D22" i="5"/>
  <c r="B74" i="1" l="1"/>
  <c r="B112" i="1"/>
  <c r="B56" i="1"/>
  <c r="B15" i="1"/>
  <c r="B14" i="1"/>
  <c r="B78" i="1" s="1"/>
  <c r="B13" i="1"/>
  <c r="B12" i="1"/>
  <c r="B11" i="1"/>
  <c r="B77" i="1" s="1"/>
  <c r="B10" i="1"/>
  <c r="B9" i="1"/>
  <c r="B102" i="1" s="1"/>
  <c r="B8" i="1"/>
  <c r="B7" i="1"/>
  <c r="B76" i="1" s="1"/>
  <c r="B6" i="1"/>
  <c r="B5" i="1"/>
  <c r="B71" i="1"/>
  <c r="B106" i="1" s="1"/>
  <c r="B75" i="1" l="1"/>
  <c r="B79" i="1" s="1"/>
  <c r="B107" i="1"/>
  <c r="B81" i="1"/>
  <c r="B82" i="1"/>
  <c r="B103" i="1" s="1"/>
  <c r="B83" i="1" l="1"/>
  <c r="B89" i="1" l="1"/>
  <c r="B90" i="1" s="1"/>
  <c r="B85" i="1"/>
  <c r="B84" i="1"/>
  <c r="B86" i="1" l="1"/>
  <c r="B87" i="1" s="1"/>
  <c r="B88" i="1" s="1"/>
  <c r="B108" i="1" l="1"/>
  <c r="B109" i="1" s="1"/>
  <c r="B110" i="1" s="1"/>
  <c r="B92" i="1"/>
  <c r="B95" i="1" s="1"/>
  <c r="B98" i="1" s="1"/>
  <c r="B93" i="1"/>
  <c r="B96" i="1" s="1"/>
  <c r="B91" i="1"/>
  <c r="B94" i="1" s="1"/>
  <c r="B97" i="1" l="1"/>
  <c r="B99" i="1"/>
  <c r="B80" i="1"/>
  <c r="D80" i="1"/>
  <c r="B100" i="1" l="1"/>
  <c r="B105" i="1" l="1"/>
  <c r="B104" i="1"/>
  <c r="B101" i="1"/>
</calcChain>
</file>

<file path=xl/sharedStrings.xml><?xml version="1.0" encoding="utf-8"?>
<sst xmlns="http://schemas.openxmlformats.org/spreadsheetml/2006/main" count="787" uniqueCount="327">
  <si>
    <t>Inputs &amp; Assumptions</t>
  </si>
  <si>
    <t>Site Related</t>
  </si>
  <si>
    <t>Location</t>
  </si>
  <si>
    <t>#</t>
  </si>
  <si>
    <t>Avg. Max Upper Reservoir Depth</t>
  </si>
  <si>
    <t>feet</t>
  </si>
  <si>
    <t>Upper Reservoir Area</t>
  </si>
  <si>
    <t>acres</t>
  </si>
  <si>
    <t>Avg. Max Lower Reservoir Depth</t>
  </si>
  <si>
    <t>Lower Reservoir Area</t>
  </si>
  <si>
    <t>Nominal (Max) Head</t>
  </si>
  <si>
    <t>Total Conveyance Length (vert+horiz)</t>
  </si>
  <si>
    <t>Avg. Upper Dam Height</t>
  </si>
  <si>
    <t>ft</t>
  </si>
  <si>
    <t>Upper Dam Crest Length</t>
  </si>
  <si>
    <t>Avg. Lower Dam Height</t>
  </si>
  <si>
    <t>Lower Dam Crest Length</t>
  </si>
  <si>
    <t>Acreage to be acquired</t>
  </si>
  <si>
    <t>Generation Time</t>
  </si>
  <si>
    <t>hours</t>
  </si>
  <si>
    <t>Unit Conversion Factors and Constants</t>
  </si>
  <si>
    <t>Meter to Feet</t>
  </si>
  <si>
    <t>Feet to Miles</t>
  </si>
  <si>
    <t>miles</t>
  </si>
  <si>
    <t>Ac. Ft to Cu. Ft</t>
  </si>
  <si>
    <t>cu.ft</t>
  </si>
  <si>
    <t>Cu. Ft to Cu. Yd</t>
  </si>
  <si>
    <t>CY</t>
  </si>
  <si>
    <t>Hr to Sec</t>
  </si>
  <si>
    <t>s</t>
  </si>
  <si>
    <t>MW to W</t>
  </si>
  <si>
    <t>W</t>
  </si>
  <si>
    <t>acceleration of gravity (metric)</t>
  </si>
  <si>
    <t>m/s^2</t>
  </si>
  <si>
    <t>density of water (metric)</t>
  </si>
  <si>
    <t>kg/m^2</t>
  </si>
  <si>
    <t>Condition Related</t>
  </si>
  <si>
    <t>Tunneling Condition</t>
  </si>
  <si>
    <t>Average</t>
  </si>
  <si>
    <t>Access Road, Terrain</t>
  </si>
  <si>
    <t>Access Road, Type</t>
  </si>
  <si>
    <t>New</t>
  </si>
  <si>
    <t>Highway Realignment</t>
  </si>
  <si>
    <t>Yes</t>
  </si>
  <si>
    <t>Access Road</t>
  </si>
  <si>
    <t>Access Tunnel, Length</t>
  </si>
  <si>
    <t>Water Supply =</t>
  </si>
  <si>
    <t>No</t>
  </si>
  <si>
    <t xml:space="preserve">Water Supply Cost = </t>
  </si>
  <si>
    <t>$/kW</t>
  </si>
  <si>
    <t>Technology Related</t>
  </si>
  <si>
    <t>U. Reservoir Intake/Outlet</t>
  </si>
  <si>
    <t>L. Reservoir Intake/Outlet</t>
  </si>
  <si>
    <t>Horizontal</t>
  </si>
  <si>
    <t>Power Station Structure Geology</t>
  </si>
  <si>
    <t>Adverse</t>
  </si>
  <si>
    <t>Power Station</t>
  </si>
  <si>
    <t>Underground</t>
  </si>
  <si>
    <t>Penstock</t>
  </si>
  <si>
    <t>Project Related</t>
  </si>
  <si>
    <t>Inflation Factor</t>
  </si>
  <si>
    <t>Mobilization/Demobilization =</t>
  </si>
  <si>
    <t>%</t>
  </si>
  <si>
    <t>Material/Equipment % =</t>
  </si>
  <si>
    <t>Sales Tax =</t>
  </si>
  <si>
    <t>Contingency =</t>
  </si>
  <si>
    <t>EPC Cost =</t>
  </si>
  <si>
    <t>Developer Cost =</t>
  </si>
  <si>
    <t>Overhead &amp; Profit =</t>
  </si>
  <si>
    <t>Transmission Related</t>
  </si>
  <si>
    <t>Transmission Distance =</t>
  </si>
  <si>
    <t>Transmission =</t>
  </si>
  <si>
    <t>kV</t>
  </si>
  <si>
    <t>Substation =</t>
  </si>
  <si>
    <t xml:space="preserve">Transmission Terrain = </t>
  </si>
  <si>
    <t>Mountain</t>
  </si>
  <si>
    <t>Transmission Type (# circuits) =</t>
  </si>
  <si>
    <t>Double</t>
  </si>
  <si>
    <t>Active Storage =</t>
  </si>
  <si>
    <t>x Gross Storage</t>
  </si>
  <si>
    <t>Hmin/Hmax =</t>
  </si>
  <si>
    <t>Hazen Williams C =</t>
  </si>
  <si>
    <t>P-T Efficiency =</t>
  </si>
  <si>
    <t>Max Tunnel Velocity =</t>
  </si>
  <si>
    <t>fps</t>
  </si>
  <si>
    <t>Max Tunnel Dia =</t>
  </si>
  <si>
    <t>Max Unit Capacity =</t>
  </si>
  <si>
    <t>MW</t>
  </si>
  <si>
    <t>Min No. Units =</t>
  </si>
  <si>
    <t>Pump Time =</t>
  </si>
  <si>
    <t>x gen time</t>
  </si>
  <si>
    <t>Nepal</t>
  </si>
  <si>
    <t>m</t>
  </si>
  <si>
    <t>meters</t>
  </si>
  <si>
    <t>km^2</t>
  </si>
  <si>
    <t>km</t>
  </si>
  <si>
    <t>sq. km to acres</t>
  </si>
  <si>
    <t>Steep</t>
  </si>
  <si>
    <t>km to miles</t>
  </si>
  <si>
    <t>Output Specifications</t>
  </si>
  <si>
    <t>Conveyance Length</t>
  </si>
  <si>
    <t>Avg. Upper Reservoir Volume =</t>
  </si>
  <si>
    <t>ac-ft</t>
  </si>
  <si>
    <t>Avg. Lower Reservoir Volume =</t>
  </si>
  <si>
    <t>Total Upper Dam Volume =</t>
  </si>
  <si>
    <t>Total Lower Dam Volume =</t>
  </si>
  <si>
    <t xml:space="preserve">Energy Storage = </t>
  </si>
  <si>
    <t>MWh</t>
  </si>
  <si>
    <t>Mean Gen Discharge =</t>
  </si>
  <si>
    <t>cfs</t>
  </si>
  <si>
    <t>Min Gross Head =</t>
  </si>
  <si>
    <t>Mean Gross Head =</t>
  </si>
  <si>
    <t>Min Gen Discharge =</t>
  </si>
  <si>
    <t>Max Gen Discharge =</t>
  </si>
  <si>
    <t>Nominal Tunnel Dia =</t>
  </si>
  <si>
    <t>No. Tunnels =</t>
  </si>
  <si>
    <t>Adjusted Tunnel Dia =</t>
  </si>
  <si>
    <t>L/H =</t>
  </si>
  <si>
    <t>Surge Chambers</t>
  </si>
  <si>
    <t>Min Gen Headloss =</t>
  </si>
  <si>
    <t>Mean Gen Headloss =</t>
  </si>
  <si>
    <t>Max Gen Headloss =</t>
  </si>
  <si>
    <t>Net Head @ Min Gen Discharge =</t>
  </si>
  <si>
    <t>Net Head @ Mean Gen Discharge =</t>
  </si>
  <si>
    <t>Net Head @ Max Gen Discharge =</t>
  </si>
  <si>
    <t>Min Plant Gen Power (Firm Capacity) =</t>
  </si>
  <si>
    <t>Mean Plant Gen Power =</t>
  </si>
  <si>
    <t>Max Plant Gen Power =</t>
  </si>
  <si>
    <t>No. Units =</t>
  </si>
  <si>
    <t>Unit Rating =</t>
  </si>
  <si>
    <t>Max Penstock Velocity =</t>
  </si>
  <si>
    <t>Max Draft Tube Tunnel Velocity =</t>
  </si>
  <si>
    <t>Penstock Dia =</t>
  </si>
  <si>
    <t>Draft Tube Tunnel Dia =</t>
  </si>
  <si>
    <t>hrs</t>
  </si>
  <si>
    <t>Mean Pump Discharge =</t>
  </si>
  <si>
    <t>Mean Pump Headloss =</t>
  </si>
  <si>
    <t>Mean Pump Net Head =</t>
  </si>
  <si>
    <t>Mean Pump Power =</t>
  </si>
  <si>
    <t xml:space="preserve">Tranmission Terrain Multiplier = </t>
  </si>
  <si>
    <t>Tranmission Type Multiplier =</t>
  </si>
  <si>
    <t>Cost Components</t>
  </si>
  <si>
    <t>Land and Land Rights</t>
  </si>
  <si>
    <t>Powerplant Structure</t>
  </si>
  <si>
    <t>Reservoirs, Dams, and Waterways</t>
  </si>
  <si>
    <t>Upper Reservoir Dam and Spillway</t>
  </si>
  <si>
    <t>Upper Reservoir Intake/Outlet</t>
  </si>
  <si>
    <t>Surge Facilities</t>
  </si>
  <si>
    <t>Lower Reservoir Intake/Outlet</t>
  </si>
  <si>
    <t>Lower Reservoir Dam and Spillway</t>
  </si>
  <si>
    <t>Water Conductors</t>
  </si>
  <si>
    <t>Upper Low &amp; High Pressure Tunnels</t>
  </si>
  <si>
    <t>Vertical Shafts</t>
  </si>
  <si>
    <t>Penstock Tunnels</t>
  </si>
  <si>
    <t>Draft Tube Tunnels</t>
  </si>
  <si>
    <t>Tailrace Tunnels</t>
  </si>
  <si>
    <t>Surface Penstock</t>
  </si>
  <si>
    <t>Powerstation Equipment</t>
  </si>
  <si>
    <t>Pump/Motors</t>
  </si>
  <si>
    <t>Generator/Turbines</t>
  </si>
  <si>
    <t>Total Powerstation</t>
  </si>
  <si>
    <t>Roads, Railroads, Bridges, and Access</t>
  </si>
  <si>
    <t>Access Roads</t>
  </si>
  <si>
    <t>Access Tunnels</t>
  </si>
  <si>
    <t>Switchyard</t>
  </si>
  <si>
    <t>Transmission Lines</t>
  </si>
  <si>
    <t>Others</t>
  </si>
  <si>
    <t>Water Supply</t>
  </si>
  <si>
    <t>Indirect Costs</t>
  </si>
  <si>
    <t>Mobilization/Demobilization</t>
  </si>
  <si>
    <t>Sales Tax</t>
  </si>
  <si>
    <t>Contingency</t>
  </si>
  <si>
    <t>EPC Cost</t>
  </si>
  <si>
    <t>Developer Cost</t>
  </si>
  <si>
    <t>Overhead &amp; Profit</t>
  </si>
  <si>
    <t>Upper reservoir</t>
  </si>
  <si>
    <t>Embankment</t>
  </si>
  <si>
    <t>Liner</t>
  </si>
  <si>
    <t>Lower reservoir</t>
  </si>
  <si>
    <t>Intakes</t>
  </si>
  <si>
    <t>Waterways</t>
  </si>
  <si>
    <t>Power Station (E&amp;M)</t>
  </si>
  <si>
    <t>Power Station (civil)</t>
  </si>
  <si>
    <t>Access tunnels and construction adits</t>
  </si>
  <si>
    <t>Access roads to site</t>
  </si>
  <si>
    <t>Transmission line</t>
  </si>
  <si>
    <t>Miscellaneous</t>
  </si>
  <si>
    <t>Sub-total works</t>
  </si>
  <si>
    <t>Other development costs</t>
  </si>
  <si>
    <t>Preliminaries and general – 20%</t>
  </si>
  <si>
    <t>Design and approvals – 10%</t>
  </si>
  <si>
    <t>Owner’s costs – 5%</t>
  </si>
  <si>
    <t>Contingency – 20%</t>
  </si>
  <si>
    <t>Total</t>
  </si>
  <si>
    <t>Inputs</t>
  </si>
  <si>
    <t>Serial</t>
  </si>
  <si>
    <t>Decription</t>
  </si>
  <si>
    <t>Value</t>
  </si>
  <si>
    <t>Input Values</t>
  </si>
  <si>
    <t>Head, H (m)</t>
  </si>
  <si>
    <t>Waterway length, L (m)</t>
  </si>
  <si>
    <t>Storage volume (Mm3)</t>
  </si>
  <si>
    <t>Storage time (hr)</t>
  </si>
  <si>
    <t>Transmission length (km)</t>
  </si>
  <si>
    <t>Calculated values</t>
  </si>
  <si>
    <t>Length: Head Ratio</t>
  </si>
  <si>
    <t>Flow (m3/s)</t>
  </si>
  <si>
    <t>Pump/Turbine Efficiency3</t>
  </si>
  <si>
    <t>Motor/Generator Efficiency3</t>
  </si>
  <si>
    <t>Installed Capacity (MW)</t>
  </si>
  <si>
    <t>Energy in storage (MWh)</t>
  </si>
  <si>
    <t>Storage perimeter (m)</t>
  </si>
  <si>
    <t>Embankment volume (m3)</t>
  </si>
  <si>
    <t>Embankment liner area (m2)</t>
  </si>
  <si>
    <t>Waterway diameter (m)</t>
  </si>
  <si>
    <t>Access road length (km)</t>
  </si>
  <si>
    <t xml:space="preserve">Input </t>
  </si>
  <si>
    <t>Values</t>
  </si>
  <si>
    <t>Cost Estimate</t>
  </si>
  <si>
    <t>Description</t>
  </si>
  <si>
    <t>Preliminaries and general - 20%</t>
  </si>
  <si>
    <t>Design and approvals - 10%</t>
  </si>
  <si>
    <t>Contingency - 20%</t>
  </si>
  <si>
    <t>Owner's costs - 5%</t>
  </si>
  <si>
    <t>Amount (2018)</t>
  </si>
  <si>
    <t>CPI in 2018</t>
  </si>
  <si>
    <t>CPI in 2025</t>
  </si>
  <si>
    <t>Reference Site</t>
  </si>
  <si>
    <t>Amount (2025)</t>
  </si>
  <si>
    <t>$/kWh (2025)</t>
  </si>
  <si>
    <t>Reference Plant Size (MW)</t>
  </si>
  <si>
    <t>Size of Kulekhani_Sisneri PSH (MW)</t>
  </si>
  <si>
    <t>Estimated Cost for KS PSH</t>
  </si>
  <si>
    <t>Upper Resovior</t>
  </si>
  <si>
    <t>Tunnels</t>
  </si>
  <si>
    <t>Power House excavation</t>
  </si>
  <si>
    <t>Power House</t>
  </si>
  <si>
    <t>Engineering procurement,
 Construction management services</t>
  </si>
  <si>
    <t>Owners Cost</t>
  </si>
  <si>
    <t>$/kW (2025)</t>
  </si>
  <si>
    <t>% of CAPEX</t>
  </si>
  <si>
    <t>CAPEX (2025) $/kWh</t>
  </si>
  <si>
    <t>CAPEX Element</t>
  </si>
  <si>
    <t>Powerouse Civil</t>
  </si>
  <si>
    <t>Owner Cost</t>
  </si>
  <si>
    <t>ENTURA</t>
  </si>
  <si>
    <t>Black and Veatch</t>
  </si>
  <si>
    <t>NPREL</t>
  </si>
  <si>
    <t>Electrical and Mechanical Cost</t>
  </si>
  <si>
    <t>Engineering Procuremnt and Construction cost</t>
  </si>
  <si>
    <t>Lower Reservoir</t>
  </si>
  <si>
    <t>Price ($)</t>
  </si>
  <si>
    <t>Resovior Cost</t>
  </si>
  <si>
    <t>WaterWays</t>
  </si>
  <si>
    <t xml:space="preserve"> $                         -  </t>
  </si>
  <si>
    <t>Total Direct and Indirect Cost</t>
  </si>
  <si>
    <t>Water Ways</t>
  </si>
  <si>
    <t>Power House Civil</t>
  </si>
  <si>
    <t>Plant Structure</t>
  </si>
  <si>
    <t>Draft tube Tunnel</t>
  </si>
  <si>
    <t>Land Right</t>
  </si>
  <si>
    <t>Highway Realiment</t>
  </si>
  <si>
    <t>Price ($) 2025</t>
  </si>
  <si>
    <t>CAPEX Cost Elements</t>
  </si>
  <si>
    <t>https://www.researchgate.net/profile/Tej-Saund/publication/291630115_Fish_and_Benthic_Fauna_in_Kulekhani_Reservoir_Makwanpur/links/56a465a408aef91c8c12fafa/Fish-and-Benthic-Fauna-in-Kulekhani-Reservoir-Makwanpur.pdf</t>
  </si>
  <si>
    <t>References</t>
  </si>
  <si>
    <t>53 m to 80 m</t>
  </si>
  <si>
    <t>Adapting hydropower production to climate change_ A case study of Kulekhani Hydropower Project in Nepal.pdf</t>
  </si>
  <si>
    <t>10 m</t>
  </si>
  <si>
    <t>1015 IOEGC-12-142-12202.pdf</t>
  </si>
  <si>
    <t>0.244 km^2</t>
  </si>
  <si>
    <t>1016 IOEGC-12-142-12202.pdf</t>
  </si>
  <si>
    <t>1017 IOEGC-12-142-12202.pdf</t>
  </si>
  <si>
    <t>GIS</t>
  </si>
  <si>
    <t>taken as dam width</t>
  </si>
  <si>
    <t>1018 IOEGC-12-142-12202.pdf</t>
  </si>
  <si>
    <t>30% larger than Resovior area</t>
  </si>
  <si>
    <t>m^3</t>
  </si>
  <si>
    <t>M63/s</t>
  </si>
  <si>
    <t>Poush to Chaitra</t>
  </si>
  <si>
    <t>Peak Time</t>
  </si>
  <si>
    <t>Normal Time</t>
  </si>
  <si>
    <t>Peak Time Average</t>
  </si>
  <si>
    <t>Normal Time Average</t>
  </si>
  <si>
    <t>cubic meter/second to  cfs</t>
  </si>
  <si>
    <t>sq feet to acers</t>
  </si>
  <si>
    <t>acers</t>
  </si>
  <si>
    <t>cu m to acer foot</t>
  </si>
  <si>
    <t>ac foot</t>
  </si>
  <si>
    <t>Feet to meter</t>
  </si>
  <si>
    <t>Miles to Feet</t>
  </si>
  <si>
    <t>Cu feet to Acer feet</t>
  </si>
  <si>
    <t>Cu Yd to cubic feet</t>
  </si>
  <si>
    <t>sec to hour</t>
  </si>
  <si>
    <t>W to MW</t>
  </si>
  <si>
    <t xml:space="preserve"> cfs to cubic meter/second </t>
  </si>
  <si>
    <t>acers to sq feet</t>
  </si>
  <si>
    <t xml:space="preserve"> acer foot to cu m</t>
  </si>
  <si>
    <t>miles to meter</t>
  </si>
  <si>
    <t>meter</t>
  </si>
  <si>
    <t>CY to cu m</t>
  </si>
  <si>
    <r>
      <t>m</t>
    </r>
    <r>
      <rPr>
        <vertAlign val="superscript"/>
        <sz val="14"/>
        <color theme="1"/>
        <rFont val="Aptos Narrow"/>
        <family val="2"/>
        <scheme val="minor"/>
      </rPr>
      <t>3</t>
    </r>
  </si>
  <si>
    <r>
      <t>m</t>
    </r>
    <r>
      <rPr>
        <vertAlign val="superscript"/>
        <sz val="14"/>
        <color theme="1"/>
        <rFont val="Aptos Narrow"/>
        <family val="2"/>
        <scheme val="minor"/>
      </rPr>
      <t>3</t>
    </r>
    <r>
      <rPr>
        <sz val="14"/>
        <color theme="1"/>
        <rFont val="Aptos Narrow"/>
        <family val="2"/>
        <scheme val="minor"/>
      </rPr>
      <t>/s</t>
    </r>
  </si>
  <si>
    <t>m/s</t>
  </si>
  <si>
    <t>hr</t>
  </si>
  <si>
    <t>1233.48 m</t>
  </si>
  <si>
    <t>610.46 MWh</t>
  </si>
  <si>
    <t>125 m</t>
  </si>
  <si>
    <t>4.63 m</t>
  </si>
  <si>
    <t xml:space="preserve">1 </t>
  </si>
  <si>
    <t xml:space="preserve">17.6 </t>
  </si>
  <si>
    <t>22.05 m</t>
  </si>
  <si>
    <t>102.94 m</t>
  </si>
  <si>
    <t xml:space="preserve">101.74 </t>
  </si>
  <si>
    <t xml:space="preserve">2 </t>
  </si>
  <si>
    <t>50.87 MW</t>
  </si>
  <si>
    <t>5.95 m/s</t>
  </si>
  <si>
    <t>2.29 m/s</t>
  </si>
  <si>
    <t>3.55 m</t>
  </si>
  <si>
    <t>5.73 m</t>
  </si>
  <si>
    <t>6 hr</t>
  </si>
  <si>
    <r>
      <t>1088281.57 m</t>
    </r>
    <r>
      <rPr>
        <vertAlign val="superscript"/>
        <sz val="14"/>
        <color theme="1"/>
        <rFont val="Aptos Narrow"/>
        <family val="2"/>
        <scheme val="minor"/>
      </rPr>
      <t>3</t>
    </r>
  </si>
  <si>
    <r>
      <t>14379104.12 m</t>
    </r>
    <r>
      <rPr>
        <vertAlign val="superscript"/>
        <sz val="14"/>
        <color theme="1"/>
        <rFont val="Aptos Narrow"/>
        <family val="2"/>
        <scheme val="minor"/>
      </rPr>
      <t>3</t>
    </r>
  </si>
  <si>
    <r>
      <t>560257.45 m</t>
    </r>
    <r>
      <rPr>
        <vertAlign val="superscript"/>
        <sz val="14"/>
        <color theme="1"/>
        <rFont val="Aptos Narrow"/>
        <family val="2"/>
        <scheme val="minor"/>
      </rPr>
      <t>3</t>
    </r>
  </si>
  <si>
    <r>
      <t>2560238.87 m</t>
    </r>
    <r>
      <rPr>
        <vertAlign val="superscript"/>
        <sz val="14"/>
        <color theme="1"/>
        <rFont val="Aptos Narrow"/>
        <family val="2"/>
        <scheme val="minor"/>
      </rPr>
      <t>3</t>
    </r>
  </si>
  <si>
    <r>
      <t>118.52 m</t>
    </r>
    <r>
      <rPr>
        <vertAlign val="superscript"/>
        <sz val="14"/>
        <color theme="1"/>
        <rFont val="Aptos Narrow"/>
        <family val="2"/>
        <scheme val="minor"/>
      </rPr>
      <t>3</t>
    </r>
    <r>
      <rPr>
        <sz val="14"/>
        <color theme="1"/>
        <rFont val="Aptos Narrow"/>
        <family val="2"/>
        <scheme val="minor"/>
      </rPr>
      <t>/s</t>
    </r>
  </si>
  <si>
    <t>Dry season 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</si>
</sst>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"/>
    <numFmt numFmtId="166" formatCode="0.000"/>
    <numFmt numFmtId="167" formatCode="0.000000"/>
    <numFmt numFmtId="168" formatCode="&quot;$&quot;#,##0.00"/>
    <numFmt numFmtId="169" formatCode="_(&quot;$&quot;* #,##0_);_(&quot;$&quot;* \(#,##0\);_(&quot;$&quot;* &quot;-&quot;??_);_(@_)"/>
  </numFmts>
  <fonts count="23">
    <font>
      <sz val="14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8"/>
      <name val="Calibri"/>
      <family val="2"/>
    </font>
    <font>
      <b/>
      <u/>
      <sz val="10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theme="1"/>
      <name val="Calibri"/>
      <family val="2"/>
    </font>
    <font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u/>
      <sz val="14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0"/>
      <color theme="1"/>
      <name val="Calibri (Body)"/>
    </font>
    <font>
      <sz val="10"/>
      <color theme="1"/>
      <name val="Aptos Narrow"/>
      <family val="2"/>
      <scheme val="minor"/>
    </font>
    <font>
      <sz val="10"/>
      <color rgb="FFFF0000"/>
      <name val="Calibri"/>
      <family val="2"/>
    </font>
    <font>
      <sz val="8"/>
      <name val="Aptos Narrow"/>
      <family val="2"/>
      <scheme val="minor"/>
    </font>
    <font>
      <b/>
      <u/>
      <sz val="10"/>
      <name val="Calibri"/>
      <family val="2"/>
    </font>
    <font>
      <sz val="10"/>
      <name val="Calibri"/>
      <family val="2"/>
    </font>
    <font>
      <sz val="10"/>
      <color rgb="FF333333"/>
      <name val="Arial"/>
      <family val="2"/>
    </font>
    <font>
      <vertAlign val="superscript"/>
      <sz val="1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4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2" fillId="0" borderId="0"/>
    <xf numFmtId="0" fontId="14" fillId="8" borderId="0" applyNumberFormat="0" applyBorder="0" applyAlignment="0" applyProtection="0"/>
  </cellStyleXfs>
  <cellXfs count="110">
    <xf numFmtId="0" fontId="0" fillId="0" borderId="0" xfId="0"/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quotePrefix="1" applyFont="1" applyFill="1" applyAlignment="1">
      <alignment horizontal="left"/>
    </xf>
    <xf numFmtId="164" fontId="4" fillId="2" borderId="0" xfId="0" applyNumberFormat="1" applyFont="1" applyFill="1" applyAlignment="1">
      <alignment horizontal="left"/>
    </xf>
    <xf numFmtId="165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left"/>
    </xf>
    <xf numFmtId="2" fontId="4" fillId="2" borderId="0" xfId="0" applyNumberFormat="1" applyFont="1" applyFill="1" applyAlignment="1">
      <alignment horizontal="left"/>
    </xf>
    <xf numFmtId="0" fontId="5" fillId="2" borderId="0" xfId="0" applyFont="1" applyFill="1"/>
    <xf numFmtId="9" fontId="4" fillId="2" borderId="0" xfId="0" applyNumberFormat="1" applyFont="1" applyFill="1" applyAlignment="1">
      <alignment horizontal="left"/>
    </xf>
    <xf numFmtId="167" fontId="4" fillId="2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/>
    </xf>
    <xf numFmtId="166" fontId="4" fillId="3" borderId="0" xfId="0" applyNumberFormat="1" applyFont="1" applyFill="1" applyAlignment="1">
      <alignment horizontal="left"/>
    </xf>
    <xf numFmtId="0" fontId="4" fillId="3" borderId="0" xfId="0" applyFont="1" applyFill="1"/>
    <xf numFmtId="1" fontId="4" fillId="3" borderId="0" xfId="0" applyNumberFormat="1" applyFont="1" applyFill="1" applyAlignment="1">
      <alignment horizontal="left"/>
    </xf>
    <xf numFmtId="0" fontId="4" fillId="3" borderId="0" xfId="0" quotePrefix="1" applyFont="1" applyFill="1" applyAlignment="1">
      <alignment horizontal="left"/>
    </xf>
    <xf numFmtId="165" fontId="4" fillId="3" borderId="0" xfId="0" applyNumberFormat="1" applyFont="1" applyFill="1" applyAlignment="1">
      <alignment horizontal="left"/>
    </xf>
    <xf numFmtId="2" fontId="4" fillId="3" borderId="0" xfId="0" applyNumberFormat="1" applyFont="1" applyFill="1" applyAlignment="1">
      <alignment horizontal="left"/>
    </xf>
    <xf numFmtId="164" fontId="4" fillId="3" borderId="0" xfId="0" applyNumberFormat="1" applyFont="1" applyFill="1" applyAlignment="1">
      <alignment horizontal="left"/>
    </xf>
    <xf numFmtId="0" fontId="1" fillId="0" borderId="1" xfId="0" applyFont="1" applyBorder="1"/>
    <xf numFmtId="0" fontId="5" fillId="0" borderId="2" xfId="0" applyFont="1" applyBorder="1"/>
    <xf numFmtId="0" fontId="6" fillId="0" borderId="2" xfId="0" applyFont="1" applyBorder="1"/>
    <xf numFmtId="0" fontId="4" fillId="0" borderId="2" xfId="0" applyFont="1" applyBorder="1" applyAlignment="1">
      <alignment horizontal="left"/>
    </xf>
    <xf numFmtId="6" fontId="0" fillId="0" borderId="0" xfId="0" applyNumberFormat="1"/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3" fontId="8" fillId="0" borderId="6" xfId="0" applyNumberFormat="1" applyFont="1" applyBorder="1" applyAlignment="1">
      <alignment vertical="center" wrapText="1"/>
    </xf>
    <xf numFmtId="9" fontId="8" fillId="0" borderId="4" xfId="0" applyNumberFormat="1" applyFont="1" applyBorder="1" applyAlignment="1">
      <alignment vertical="center" wrapText="1"/>
    </xf>
    <xf numFmtId="9" fontId="8" fillId="0" borderId="5" xfId="0" applyNumberFormat="1" applyFont="1" applyBorder="1" applyAlignment="1">
      <alignment vertical="center" wrapText="1"/>
    </xf>
    <xf numFmtId="3" fontId="8" fillId="0" borderId="3" xfId="0" applyNumberFormat="1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3" fontId="8" fillId="0" borderId="4" xfId="0" applyNumberFormat="1" applyFont="1" applyBorder="1" applyAlignment="1">
      <alignment vertical="center" wrapText="1"/>
    </xf>
    <xf numFmtId="9" fontId="8" fillId="0" borderId="3" xfId="0" applyNumberFormat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6" fontId="8" fillId="0" borderId="0" xfId="0" applyNumberFormat="1" applyFont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6" fontId="8" fillId="5" borderId="0" xfId="0" applyNumberFormat="1" applyFont="1" applyFill="1" applyAlignment="1">
      <alignment vertical="center" wrapText="1"/>
    </xf>
    <xf numFmtId="0" fontId="8" fillId="6" borderId="0" xfId="0" applyFont="1" applyFill="1" applyAlignment="1">
      <alignment horizontal="left" vertical="center" wrapText="1" indent="2"/>
    </xf>
    <xf numFmtId="6" fontId="8" fillId="6" borderId="0" xfId="0" applyNumberFormat="1" applyFont="1" applyFill="1" applyAlignment="1">
      <alignment vertical="center" wrapText="1"/>
    </xf>
    <xf numFmtId="0" fontId="8" fillId="6" borderId="0" xfId="0" applyFont="1" applyFill="1" applyAlignment="1">
      <alignment horizontal="left" vertical="center" indent="2"/>
    </xf>
    <xf numFmtId="6" fontId="9" fillId="4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2"/>
    <xf numFmtId="168" fontId="8" fillId="6" borderId="0" xfId="0" applyNumberFormat="1" applyFont="1" applyFill="1" applyAlignment="1">
      <alignment horizontal="left" vertical="center" wrapText="1" indent="2"/>
    </xf>
    <xf numFmtId="168" fontId="8" fillId="5" borderId="0" xfId="0" applyNumberFormat="1" applyFont="1" applyFill="1" applyAlignment="1">
      <alignment vertical="center" wrapText="1"/>
    </xf>
    <xf numFmtId="168" fontId="9" fillId="4" borderId="0" xfId="0" applyNumberFormat="1" applyFont="1" applyFill="1" applyAlignment="1">
      <alignment vertical="center" wrapText="1"/>
    </xf>
    <xf numFmtId="168" fontId="8" fillId="6" borderId="0" xfId="0" applyNumberFormat="1" applyFont="1" applyFill="1" applyAlignment="1">
      <alignment vertical="center" wrapText="1"/>
    </xf>
    <xf numFmtId="0" fontId="0" fillId="7" borderId="0" xfId="0" applyFill="1"/>
    <xf numFmtId="2" fontId="8" fillId="5" borderId="0" xfId="0" applyNumberFormat="1" applyFont="1" applyFill="1" applyAlignment="1">
      <alignment vertical="center" wrapText="1"/>
    </xf>
    <xf numFmtId="2" fontId="8" fillId="6" borderId="0" xfId="0" applyNumberFormat="1" applyFont="1" applyFill="1" applyAlignment="1">
      <alignment vertical="center" wrapText="1"/>
    </xf>
    <xf numFmtId="2" fontId="9" fillId="4" borderId="0" xfId="0" applyNumberFormat="1" applyFont="1" applyFill="1" applyAlignment="1">
      <alignment vertical="center" wrapText="1"/>
    </xf>
    <xf numFmtId="44" fontId="0" fillId="7" borderId="0" xfId="1" applyFont="1" applyFill="1"/>
    <xf numFmtId="0" fontId="4" fillId="0" borderId="0" xfId="3" applyFont="1" applyAlignment="1">
      <alignment horizontal="left" indent="1"/>
    </xf>
    <xf numFmtId="169" fontId="17" fillId="0" borderId="0" xfId="6" applyNumberFormat="1" applyFont="1" applyBorder="1"/>
    <xf numFmtId="0" fontId="11" fillId="0" borderId="0" xfId="0" applyFont="1"/>
    <xf numFmtId="0" fontId="6" fillId="0" borderId="0" xfId="3" applyFont="1" applyAlignment="1">
      <alignment horizontal="left" indent="1"/>
    </xf>
    <xf numFmtId="0" fontId="13" fillId="0" borderId="14" xfId="3" applyFont="1" applyBorder="1"/>
    <xf numFmtId="0" fontId="4" fillId="0" borderId="14" xfId="3" applyFont="1" applyBorder="1" applyAlignment="1">
      <alignment horizontal="left" indent="1"/>
    </xf>
    <xf numFmtId="0" fontId="16" fillId="0" borderId="14" xfId="3" applyFont="1" applyBorder="1" applyAlignment="1">
      <alignment horizontal="left" indent="1"/>
    </xf>
    <xf numFmtId="0" fontId="4" fillId="0" borderId="0" xfId="3" applyFont="1"/>
    <xf numFmtId="169" fontId="4" fillId="0" borderId="0" xfId="3" applyNumberFormat="1" applyFont="1"/>
    <xf numFmtId="0" fontId="15" fillId="0" borderId="14" xfId="3" applyFont="1" applyBorder="1" applyAlignment="1">
      <alignment horizontal="left" indent="1"/>
    </xf>
    <xf numFmtId="169" fontId="4" fillId="0" borderId="0" xfId="6" applyNumberFormat="1" applyFont="1" applyBorder="1"/>
    <xf numFmtId="0" fontId="4" fillId="0" borderId="0" xfId="3" applyFont="1" applyAlignment="1">
      <alignment horizontal="center"/>
    </xf>
    <xf numFmtId="44" fontId="4" fillId="0" borderId="0" xfId="6" applyFont="1" applyBorder="1"/>
    <xf numFmtId="2" fontId="4" fillId="0" borderId="0" xfId="3" applyNumberFormat="1" applyFont="1"/>
    <xf numFmtId="0" fontId="4" fillId="9" borderId="0" xfId="3" applyFont="1" applyFill="1"/>
    <xf numFmtId="44" fontId="4" fillId="9" borderId="0" xfId="6" applyFont="1" applyFill="1" applyBorder="1"/>
    <xf numFmtId="0" fontId="5" fillId="0" borderId="14" xfId="3" applyBorder="1"/>
    <xf numFmtId="0" fontId="13" fillId="0" borderId="15" xfId="3" applyFont="1" applyBorder="1"/>
    <xf numFmtId="169" fontId="4" fillId="0" borderId="16" xfId="3" applyNumberFormat="1" applyFont="1" applyBorder="1"/>
    <xf numFmtId="0" fontId="13" fillId="0" borderId="0" xfId="3" applyFont="1"/>
    <xf numFmtId="8" fontId="0" fillId="0" borderId="0" xfId="0" applyNumberFormat="1"/>
    <xf numFmtId="169" fontId="17" fillId="0" borderId="0" xfId="3" applyNumberFormat="1" applyFont="1"/>
    <xf numFmtId="0" fontId="0" fillId="6" borderId="0" xfId="0" applyFill="1"/>
    <xf numFmtId="0" fontId="19" fillId="6" borderId="0" xfId="0" applyFont="1" applyFill="1" applyAlignment="1">
      <alignment horizontal="left"/>
    </xf>
    <xf numFmtId="0" fontId="20" fillId="6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20" fillId="6" borderId="0" xfId="0" applyFont="1" applyFill="1"/>
    <xf numFmtId="0" fontId="4" fillId="6" borderId="0" xfId="0" applyFont="1" applyFill="1"/>
    <xf numFmtId="164" fontId="20" fillId="6" borderId="0" xfId="0" applyNumberFormat="1" applyFont="1" applyFill="1" applyAlignment="1">
      <alignment horizontal="left"/>
    </xf>
    <xf numFmtId="165" fontId="20" fillId="6" borderId="0" xfId="0" applyNumberFormat="1" applyFont="1" applyFill="1" applyAlignment="1">
      <alignment horizontal="left"/>
    </xf>
    <xf numFmtId="1" fontId="20" fillId="6" borderId="0" xfId="0" applyNumberFormat="1" applyFont="1" applyFill="1" applyAlignment="1">
      <alignment horizontal="left"/>
    </xf>
    <xf numFmtId="2" fontId="20" fillId="6" borderId="0" xfId="0" applyNumberFormat="1" applyFont="1" applyFill="1" applyAlignment="1">
      <alignment horizontal="left"/>
    </xf>
    <xf numFmtId="0" fontId="21" fillId="0" borderId="0" xfId="0" applyFont="1"/>
    <xf numFmtId="11" fontId="0" fillId="0" borderId="0" xfId="0" applyNumberFormat="1"/>
    <xf numFmtId="2" fontId="0" fillId="0" borderId="0" xfId="0" applyNumberFormat="1"/>
    <xf numFmtId="0" fontId="0" fillId="10" borderId="17" xfId="0" applyFill="1" applyBorder="1"/>
    <xf numFmtId="2" fontId="0" fillId="10" borderId="17" xfId="0" applyNumberFormat="1" applyFill="1" applyBorder="1"/>
    <xf numFmtId="0" fontId="0" fillId="0" borderId="17" xfId="0" applyBorder="1"/>
    <xf numFmtId="2" fontId="0" fillId="0" borderId="17" xfId="0" applyNumberFormat="1" applyBorder="1"/>
    <xf numFmtId="0" fontId="0" fillId="10" borderId="0" xfId="0" applyFill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3" borderId="0" xfId="0" applyFont="1" applyFill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</cellXfs>
  <cellStyles count="9">
    <cellStyle name="Bad 2" xfId="8" xr:uid="{EE63B486-2EFC-4F08-81C5-21C474014950}"/>
    <cellStyle name="Comma 2" xfId="5" xr:uid="{DB7BDBF7-D183-4C6B-AFF2-C9FC31413E54}"/>
    <cellStyle name="Currency" xfId="1" builtinId="4"/>
    <cellStyle name="Currency 2" xfId="6" xr:uid="{0E1573FA-BDFB-4A82-940D-B432A655285D}"/>
    <cellStyle name="Hyperlink" xfId="2" builtinId="8"/>
    <cellStyle name="Normal" xfId="0" builtinId="0"/>
    <cellStyle name="Normal 2" xfId="7" xr:uid="{34946F5B-F898-4CD2-B020-9B0F1DB6CBB8}"/>
    <cellStyle name="Normal 3" xfId="3" xr:uid="{4CB2BE62-6712-4C11-A68F-3CEFDA241394}"/>
    <cellStyle name="Percent 2" xfId="4" xr:uid="{5B36E40B-D557-48CE-A9E6-ABFF9648E2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'CAPEX Estimation'!$A$2</c:f>
              <c:strCache>
                <c:ptCount val="1"/>
                <c:pt idx="0">
                  <c:v>Lower Reservoir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'CAPEX Estimation'!$E$1</c:f>
              <c:strCache>
                <c:ptCount val="1"/>
                <c:pt idx="0">
                  <c:v>CAPEX Cost Elements</c:v>
                </c:pt>
              </c:strCache>
            </c:strRef>
          </c:cat>
          <c:val>
            <c:numRef>
              <c:f>'CAPEX Estimation'!$E$2</c:f>
              <c:numCache>
                <c:formatCode>General</c:formatCode>
                <c:ptCount val="1"/>
                <c:pt idx="0">
                  <c:v>225.60945122449547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0-4A48-A089-6EED5541C705}"/>
            </c:ext>
          </c:extLst>
        </c:ser>
        <c:ser>
          <c:idx val="1"/>
          <c:order val="1"/>
          <c:tx>
            <c:strRef>
              <c:f>'CAPEX Estimation'!$A$3</c:f>
              <c:strCache>
                <c:ptCount val="1"/>
                <c:pt idx="0">
                  <c:v>Waterways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'CAPEX Estimation'!$E$1</c:f>
              <c:strCache>
                <c:ptCount val="1"/>
                <c:pt idx="0">
                  <c:v>CAPEX Cost Elements</c:v>
                </c:pt>
              </c:strCache>
            </c:strRef>
          </c:cat>
          <c:val>
            <c:numRef>
              <c:f>'CAPEX Estimation'!$E$3</c:f>
              <c:numCache>
                <c:formatCode>General</c:formatCode>
                <c:ptCount val="1"/>
                <c:pt idx="0">
                  <c:v>372.27601704552461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20-4A48-A089-6EED5541C705}"/>
            </c:ext>
          </c:extLst>
        </c:ser>
        <c:ser>
          <c:idx val="2"/>
          <c:order val="2"/>
          <c:tx>
            <c:strRef>
              <c:f>'CAPEX Estimation'!$A$4</c:f>
              <c:strCache>
                <c:ptCount val="1"/>
                <c:pt idx="0">
                  <c:v>Powerouse Civil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'CAPEX Estimation'!$E$1</c:f>
              <c:strCache>
                <c:ptCount val="1"/>
                <c:pt idx="0">
                  <c:v>CAPEX Cost Elements</c:v>
                </c:pt>
              </c:strCache>
            </c:strRef>
          </c:cat>
          <c:val>
            <c:numRef>
              <c:f>'CAPEX Estimation'!$E$4</c:f>
              <c:numCache>
                <c:formatCode>General</c:formatCode>
                <c:ptCount val="1"/>
                <c:pt idx="0">
                  <c:v>172.03415283995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20-4A48-A089-6EED5541C705}"/>
            </c:ext>
          </c:extLst>
        </c:ser>
        <c:ser>
          <c:idx val="3"/>
          <c:order val="3"/>
          <c:tx>
            <c:strRef>
              <c:f>'CAPEX Estimation'!$A$5</c:f>
              <c:strCache>
                <c:ptCount val="1"/>
                <c:pt idx="0">
                  <c:v>Electrical and Mechanical 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'CAPEX Estimation'!$E$1</c:f>
              <c:strCache>
                <c:ptCount val="1"/>
                <c:pt idx="0">
                  <c:v>CAPEX Cost Elements</c:v>
                </c:pt>
              </c:strCache>
            </c:strRef>
          </c:cat>
          <c:val>
            <c:numRef>
              <c:f>'CAPEX Estimation'!$E$5</c:f>
              <c:numCache>
                <c:formatCode>General</c:formatCode>
                <c:ptCount val="1"/>
                <c:pt idx="0">
                  <c:v>682.47430896810613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20-4A48-A089-6EED5541C705}"/>
            </c:ext>
          </c:extLst>
        </c:ser>
        <c:ser>
          <c:idx val="4"/>
          <c:order val="4"/>
          <c:tx>
            <c:strRef>
              <c:f>'CAPEX Estimation'!$A$6</c:f>
              <c:strCache>
                <c:ptCount val="1"/>
                <c:pt idx="0">
                  <c:v>Engineering Procuremnt and Construction cost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'CAPEX Estimation'!$E$1</c:f>
              <c:strCache>
                <c:ptCount val="1"/>
                <c:pt idx="0">
                  <c:v>CAPEX Cost Elements</c:v>
                </c:pt>
              </c:strCache>
            </c:strRef>
          </c:cat>
          <c:val>
            <c:numRef>
              <c:f>'CAPEX Estimation'!$E$6</c:f>
              <c:numCache>
                <c:formatCode>General</c:formatCode>
                <c:ptCount val="1"/>
                <c:pt idx="0">
                  <c:v>404.97477175234889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20-4A48-A089-6EED5541C705}"/>
            </c:ext>
          </c:extLst>
        </c:ser>
        <c:ser>
          <c:idx val="5"/>
          <c:order val="5"/>
          <c:tx>
            <c:strRef>
              <c:f>'CAPEX Estimation'!$A$7</c:f>
              <c:strCache>
                <c:ptCount val="1"/>
                <c:pt idx="0">
                  <c:v>Owner Cost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'CAPEX Estimation'!$E$1</c:f>
              <c:strCache>
                <c:ptCount val="1"/>
                <c:pt idx="0">
                  <c:v>CAPEX Cost Elements</c:v>
                </c:pt>
              </c:strCache>
            </c:strRef>
          </c:cat>
          <c:val>
            <c:numRef>
              <c:f>'CAPEX Estimation'!$E$7</c:f>
              <c:numCache>
                <c:formatCode>General</c:formatCode>
                <c:ptCount val="1"/>
                <c:pt idx="0">
                  <c:v>460.17997495088252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20-4A48-A089-6EED5541C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6340111"/>
        <c:axId val="746346351"/>
      </c:barChart>
      <c:catAx>
        <c:axId val="746340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46351"/>
        <c:crosses val="autoZero"/>
        <c:auto val="1"/>
        <c:lblAlgn val="ctr"/>
        <c:lblOffset val="100"/>
        <c:noMultiLvlLbl val="0"/>
      </c:catAx>
      <c:valAx>
        <c:axId val="746346351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4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'CAPEX Estimation'!$E$2:$E$7</c:f>
              <c:strCache>
                <c:ptCount val="6"/>
                <c:pt idx="0">
                  <c:v>225.6094512</c:v>
                </c:pt>
                <c:pt idx="1">
                  <c:v>372.276017</c:v>
                </c:pt>
                <c:pt idx="2">
                  <c:v>172.0341528</c:v>
                </c:pt>
                <c:pt idx="3">
                  <c:v>682.474309</c:v>
                </c:pt>
                <c:pt idx="4">
                  <c:v>404.9747718</c:v>
                </c:pt>
                <c:pt idx="5">
                  <c:v>460.179975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F5-4E42-AB58-157AEC87E3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F5-4E42-AB58-157AEC87E3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F5-4E42-AB58-157AEC87E3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F5-4E42-AB58-157AEC87E3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F5-4E42-AB58-157AEC87E35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2F5-4E42-AB58-157AEC87E3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'CAPEX Estimation'!$A$2:$A$7</c:f>
              <c:strCache>
                <c:ptCount val="6"/>
                <c:pt idx="0">
                  <c:v>Lower Reservoir</c:v>
                </c:pt>
                <c:pt idx="1">
                  <c:v>Waterways</c:v>
                </c:pt>
                <c:pt idx="2">
                  <c:v>Powerouse Civil</c:v>
                </c:pt>
                <c:pt idx="3">
                  <c:v>Electrical and Mechanical Cost</c:v>
                </c:pt>
                <c:pt idx="4">
                  <c:v>Engineering Procuremnt and Construction cost</c:v>
                </c:pt>
                <c:pt idx="5">
                  <c:v>Owner Cost</c:v>
                </c:pt>
              </c:strCache>
            </c:strRef>
          </c:cat>
          <c:val>
            <c:numRef>
              <c:f>'CAPEX Estimation'!$E$2:$E$7</c:f>
              <c:numCache>
                <c:formatCode>General</c:formatCode>
                <c:ptCount val="6"/>
                <c:pt idx="0">
                  <c:v>225.60945122449547</c:v>
                </c:pt>
                <c:pt idx="1">
                  <c:v>372.27601704552461</c:v>
                </c:pt>
                <c:pt idx="2">
                  <c:v>172.03415283995</c:v>
                </c:pt>
                <c:pt idx="3">
                  <c:v>682.47430896810613</c:v>
                </c:pt>
                <c:pt idx="4">
                  <c:v>404.97477175234889</c:v>
                </c:pt>
                <c:pt idx="5">
                  <c:v>460.17997495088252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7-47D1-9029-281F9A0CFE2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701040</xdr:colOff>
      <xdr:row>4</xdr:row>
      <xdr:rowOff>144780</xdr:rowOff>
    </xdr:from>
    <xdr:to>
      <xdr:col>13</xdr:col>
      <xdr:colOff>63882</xdr:colOff>
      <xdr:row>31</xdr:row>
      <xdr:rowOff>164694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FC4DA-D581-3818-A860-7DBD37C74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2060" y="1059180"/>
          <a:ext cx="7287642" cy="61921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</xdr:row>
      <xdr:rowOff>129541</xdr:rowOff>
    </xdr:from>
    <xdr:to>
      <xdr:col>10</xdr:col>
      <xdr:colOff>600608</xdr:colOff>
      <xdr:row>20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6AF752-CFF9-AEC2-95C3-934BE57BF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3280" y="594361"/>
          <a:ext cx="6109868" cy="48158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259080</xdr:colOff>
      <xdr:row>0</xdr:row>
      <xdr:rowOff>0</xdr:rowOff>
    </xdr:from>
    <xdr:to>
      <xdr:col>15</xdr:col>
      <xdr:colOff>574555</xdr:colOff>
      <xdr:row>21</xdr:row>
      <xdr:rowOff>2773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755F86-A3C4-264E-AD46-356A20983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1480" y="0"/>
          <a:ext cx="8240275" cy="62206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248435</xdr:colOff>
      <xdr:row>2</xdr:row>
      <xdr:rowOff>83820</xdr:rowOff>
    </xdr:from>
    <xdr:to>
      <xdr:col>17</xdr:col>
      <xdr:colOff>490075</xdr:colOff>
      <xdr:row>27</xdr:row>
      <xdr:rowOff>84968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AD536C-A68B-AEE2-6A11-145CDA793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4535" y="541020"/>
          <a:ext cx="6581480" cy="59295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99060</xdr:colOff>
      <xdr:row>0</xdr:row>
      <xdr:rowOff>43159</xdr:rowOff>
    </xdr:from>
    <xdr:to>
      <xdr:col>12</xdr:col>
      <xdr:colOff>670882</xdr:colOff>
      <xdr:row>11</xdr:row>
      <xdr:rowOff>173903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BAD3DD-D800-660A-E281-C51055D55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3940" y="271759"/>
          <a:ext cx="6119182" cy="30796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11</xdr:row>
      <xdr:rowOff>83820</xdr:rowOff>
    </xdr:from>
    <xdr:to>
      <xdr:col>13</xdr:col>
      <xdr:colOff>198120</xdr:colOff>
      <xdr:row>22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FDA41F-0E51-F99D-5324-ECAC495BC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529445</xdr:colOff>
      <xdr:row>4</xdr:row>
      <xdr:rowOff>71013</xdr:rowOff>
    </xdr:from>
    <xdr:to>
      <xdr:col>33</xdr:col>
      <xdr:colOff>762000</xdr:colOff>
      <xdr:row>33</xdr:row>
      <xdr:rowOff>96981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C1432D-370E-DF6B-346F-E3FCE12D3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hmita\Desktop\nepal%20cost%20model.xlsm" TargetMode="External"/><Relationship Id="rId1" Type="http://schemas.openxmlformats.org/officeDocument/2006/relationships/externalLinkPath" Target="/Users/Ashmita/Desktop/nepal%20cost%20mod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initions"/>
      <sheetName val="Cost Model L-PSH"/>
      <sheetName val="Cost Curves L-PSH"/>
      <sheetName val="Cost Model S-PSH"/>
      <sheetName val="Cost Curves S-PSH"/>
      <sheetName val="Market Adj Factors"/>
      <sheetName val="Locational Adj Factors"/>
      <sheetName val="Sensitivity Analysis"/>
      <sheetName val="Land Value Data"/>
    </sheetNames>
    <sheetDataSet>
      <sheetData sheetId="0"/>
      <sheetData sheetId="1"/>
      <sheetData sheetId="2">
        <row r="281">
          <cell r="H281" t="str">
            <v>Mountain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www.in2013dollars.com/us/inflation/2018?amount=100" TargetMode="External"/><Relationship Id="rId1" Type="http://schemas.openxmlformats.org/officeDocument/2006/relationships/hyperlink" Target="https://www.in2013dollars.com/us/inflation/2018?amount=100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2013dollars.com/us/inflation/2022?amount=100" TargetMode="External"/><Relationship Id="rId1" Type="http://schemas.openxmlformats.org/officeDocument/2006/relationships/hyperlink" Target="https://www.in2013dollars.com/us/inflation/2022?amount=100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232D3-171B-4238-BA97-9B1F207B4A08}">
  <sheetPr>
    <tabColor theme="5"/>
  </sheetPr>
  <dimension ref="A1:Q112"/>
  <sheetViews>
    <sheetView topLeftCell="A100" zoomScale="128" workbookViewId="0">
      <selection activeCell="A14" sqref="A14"/>
    </sheetView>
  </sheetViews>
  <sheetFormatPr defaultRowHeight="18"/>
  <cols>
    <col min="1" max="1" width="23.6640625" bestFit="1" customWidth="1"/>
    <col min="2" max="2" width="9.33203125" bestFit="1" customWidth="1"/>
    <col min="6" max="6" width="24.08203125" bestFit="1" customWidth="1"/>
    <col min="12" max="12" width="23.6640625" bestFit="1" customWidth="1"/>
    <col min="17" max="17" width="30.75" bestFit="1" customWidth="1"/>
  </cols>
  <sheetData>
    <row r="1" spans="1:17">
      <c r="A1" s="102" t="s">
        <v>0</v>
      </c>
      <c r="B1" s="103"/>
      <c r="C1" s="103"/>
    </row>
    <row r="2" spans="1:17">
      <c r="A2" s="1"/>
      <c r="B2" s="1"/>
      <c r="C2" s="1"/>
    </row>
    <row r="3" spans="1:17">
      <c r="A3" s="2" t="s">
        <v>1</v>
      </c>
      <c r="B3" s="3"/>
      <c r="C3" s="4"/>
    </row>
    <row r="4" spans="1:17">
      <c r="A4" s="3" t="s">
        <v>2</v>
      </c>
      <c r="B4" s="3" t="s">
        <v>91</v>
      </c>
      <c r="C4" s="4" t="s">
        <v>3</v>
      </c>
      <c r="G4" t="s">
        <v>265</v>
      </c>
      <c r="Q4" s="23" t="s">
        <v>141</v>
      </c>
    </row>
    <row r="5" spans="1:17">
      <c r="A5" s="3" t="s">
        <v>4</v>
      </c>
      <c r="B5" s="3">
        <f>D5*K5</f>
        <v>218.17586</v>
      </c>
      <c r="C5" s="4" t="s">
        <v>5</v>
      </c>
      <c r="D5">
        <v>66.5</v>
      </c>
      <c r="E5" t="s">
        <v>93</v>
      </c>
      <c r="F5" t="s">
        <v>266</v>
      </c>
      <c r="G5" t="s">
        <v>264</v>
      </c>
      <c r="K5">
        <v>3.28084</v>
      </c>
      <c r="L5" s="2" t="s">
        <v>20</v>
      </c>
      <c r="M5" s="3"/>
      <c r="N5" s="3"/>
      <c r="Q5" s="24"/>
    </row>
    <row r="6" spans="1:17">
      <c r="A6" s="3" t="s">
        <v>6</v>
      </c>
      <c r="B6" s="3">
        <f>D6*M14</f>
        <v>543.63131313132408</v>
      </c>
      <c r="C6" s="4" t="s">
        <v>7</v>
      </c>
      <c r="D6">
        <v>2.2000000000000002</v>
      </c>
      <c r="E6" t="s">
        <v>94</v>
      </c>
      <c r="G6" t="s">
        <v>267</v>
      </c>
      <c r="L6" s="4" t="s">
        <v>21</v>
      </c>
      <c r="M6" s="3">
        <v>3.28084</v>
      </c>
      <c r="N6" s="4" t="s">
        <v>5</v>
      </c>
      <c r="Q6" s="25" t="s">
        <v>142</v>
      </c>
    </row>
    <row r="7" spans="1:17">
      <c r="A7" s="3" t="s">
        <v>8</v>
      </c>
      <c r="B7" s="3">
        <f>D7*M6</f>
        <v>4133.8584000000001</v>
      </c>
      <c r="C7" s="4" t="s">
        <v>5</v>
      </c>
      <c r="D7">
        <v>1260</v>
      </c>
      <c r="E7" t="s">
        <v>93</v>
      </c>
      <c r="F7" t="s">
        <v>268</v>
      </c>
      <c r="G7" t="s">
        <v>269</v>
      </c>
      <c r="L7" s="4" t="s">
        <v>22</v>
      </c>
      <c r="M7" s="6">
        <v>1.8939400000000001E-4</v>
      </c>
      <c r="N7" s="4" t="s">
        <v>23</v>
      </c>
      <c r="Q7" s="24"/>
    </row>
    <row r="8" spans="1:17">
      <c r="A8" s="3" t="s">
        <v>9</v>
      </c>
      <c r="B8" s="3">
        <f>D8*M14</f>
        <v>60.293654729110479</v>
      </c>
      <c r="C8" s="4" t="s">
        <v>7</v>
      </c>
      <c r="D8">
        <v>0.24399999999999999</v>
      </c>
      <c r="E8" t="s">
        <v>94</v>
      </c>
      <c r="F8" t="s">
        <v>270</v>
      </c>
      <c r="G8" t="s">
        <v>271</v>
      </c>
      <c r="L8" s="3" t="s">
        <v>24</v>
      </c>
      <c r="M8" s="7">
        <v>43559.9</v>
      </c>
      <c r="N8" s="4" t="s">
        <v>25</v>
      </c>
      <c r="Q8" s="25" t="s">
        <v>143</v>
      </c>
    </row>
    <row r="9" spans="1:17">
      <c r="A9" s="5" t="s">
        <v>10</v>
      </c>
      <c r="B9" s="3">
        <f>D9*M6</f>
        <v>410.10500000000002</v>
      </c>
      <c r="C9" s="4" t="s">
        <v>5</v>
      </c>
      <c r="D9">
        <v>125</v>
      </c>
      <c r="E9" t="s">
        <v>92</v>
      </c>
      <c r="G9" t="s">
        <v>272</v>
      </c>
      <c r="L9" s="3" t="s">
        <v>26</v>
      </c>
      <c r="M9" s="7">
        <v>1613.33</v>
      </c>
      <c r="N9" s="4" t="s">
        <v>27</v>
      </c>
      <c r="Q9" s="24"/>
    </row>
    <row r="10" spans="1:17">
      <c r="A10" s="3" t="s">
        <v>11</v>
      </c>
      <c r="B10" s="3">
        <f>D10*M6</f>
        <v>7217.848</v>
      </c>
      <c r="C10" s="4" t="s">
        <v>5</v>
      </c>
      <c r="D10">
        <v>2200</v>
      </c>
      <c r="E10" t="s">
        <v>92</v>
      </c>
      <c r="G10" t="s">
        <v>273</v>
      </c>
      <c r="L10" s="3" t="s">
        <v>28</v>
      </c>
      <c r="M10" s="8">
        <v>3600</v>
      </c>
      <c r="N10" s="4" t="s">
        <v>29</v>
      </c>
      <c r="Q10" s="25" t="s">
        <v>144</v>
      </c>
    </row>
    <row r="11" spans="1:17">
      <c r="A11" s="3" t="s">
        <v>12</v>
      </c>
      <c r="B11" s="3">
        <f>D11*M6</f>
        <v>374.01576</v>
      </c>
      <c r="C11" s="4" t="s">
        <v>13</v>
      </c>
      <c r="D11">
        <v>114</v>
      </c>
      <c r="E11" t="s">
        <v>92</v>
      </c>
      <c r="G11" t="s">
        <v>267</v>
      </c>
      <c r="L11" s="3" t="s">
        <v>30</v>
      </c>
      <c r="M11" s="8">
        <v>1000000</v>
      </c>
      <c r="N11" s="4" t="s">
        <v>31</v>
      </c>
      <c r="Q11" s="26" t="s">
        <v>145</v>
      </c>
    </row>
    <row r="12" spans="1:17">
      <c r="A12" s="3" t="s">
        <v>14</v>
      </c>
      <c r="B12" s="3">
        <f>D12*M6</f>
        <v>1332.0210400000001</v>
      </c>
      <c r="C12" s="4" t="s">
        <v>13</v>
      </c>
      <c r="D12">
        <v>406</v>
      </c>
      <c r="E12" t="s">
        <v>92</v>
      </c>
      <c r="G12" t="s">
        <v>267</v>
      </c>
      <c r="L12" s="3" t="s">
        <v>32</v>
      </c>
      <c r="M12" s="9">
        <v>9.81</v>
      </c>
      <c r="N12" s="4" t="s">
        <v>33</v>
      </c>
      <c r="Q12" s="26" t="s">
        <v>146</v>
      </c>
    </row>
    <row r="13" spans="1:17">
      <c r="A13" s="3" t="s">
        <v>15</v>
      </c>
      <c r="B13" s="3">
        <f>D13*M6</f>
        <v>118.11024</v>
      </c>
      <c r="C13" s="4" t="s">
        <v>13</v>
      </c>
      <c r="D13">
        <v>36</v>
      </c>
      <c r="E13" t="s">
        <v>92</v>
      </c>
      <c r="G13" t="s">
        <v>272</v>
      </c>
      <c r="L13" s="3" t="s">
        <v>34</v>
      </c>
      <c r="M13" s="8">
        <v>1000</v>
      </c>
      <c r="N13" s="4" t="s">
        <v>35</v>
      </c>
      <c r="Q13" s="26" t="s">
        <v>147</v>
      </c>
    </row>
    <row r="14" spans="1:17">
      <c r="A14" s="3" t="s">
        <v>16</v>
      </c>
      <c r="B14" s="3">
        <f>D14*M6</f>
        <v>410.10500000000002</v>
      </c>
      <c r="C14" s="4" t="s">
        <v>13</v>
      </c>
      <c r="D14">
        <v>125</v>
      </c>
      <c r="E14" t="s">
        <v>92</v>
      </c>
      <c r="F14" t="s">
        <v>274</v>
      </c>
      <c r="G14" t="s">
        <v>275</v>
      </c>
      <c r="L14" s="3" t="s">
        <v>96</v>
      </c>
      <c r="M14" s="8">
        <v>247.10514233242</v>
      </c>
      <c r="N14" s="4" t="s">
        <v>7</v>
      </c>
      <c r="Q14" s="26" t="s">
        <v>148</v>
      </c>
    </row>
    <row r="15" spans="1:17">
      <c r="A15" s="3" t="s">
        <v>17</v>
      </c>
      <c r="B15" s="3">
        <f>D15*M14</f>
        <v>78.381751147843616</v>
      </c>
      <c r="C15" s="4" t="s">
        <v>7</v>
      </c>
      <c r="D15">
        <v>0.31719999999999998</v>
      </c>
      <c r="E15" t="s">
        <v>94</v>
      </c>
      <c r="F15" t="s">
        <v>276</v>
      </c>
      <c r="L15" s="3" t="s">
        <v>98</v>
      </c>
      <c r="M15" s="12">
        <v>0.62137100000000001</v>
      </c>
      <c r="N15" s="4" t="s">
        <v>23</v>
      </c>
      <c r="Q15" s="26" t="s">
        <v>149</v>
      </c>
    </row>
    <row r="16" spans="1:17">
      <c r="A16" s="5" t="s">
        <v>18</v>
      </c>
      <c r="B16" s="3">
        <v>5</v>
      </c>
      <c r="C16" s="4" t="s">
        <v>19</v>
      </c>
      <c r="D16">
        <v>6</v>
      </c>
      <c r="E16" t="s">
        <v>19</v>
      </c>
      <c r="Q16" s="24"/>
    </row>
    <row r="17" spans="1:17">
      <c r="A17" s="3"/>
      <c r="B17" s="3"/>
      <c r="C17" s="4"/>
      <c r="Q17" s="25" t="s">
        <v>150</v>
      </c>
    </row>
    <row r="18" spans="1:17">
      <c r="A18" s="2" t="s">
        <v>20</v>
      </c>
      <c r="B18" s="3"/>
      <c r="C18" s="3"/>
      <c r="Q18" s="26" t="s">
        <v>151</v>
      </c>
    </row>
    <row r="19" spans="1:17">
      <c r="A19" s="4" t="s">
        <v>21</v>
      </c>
      <c r="B19" s="3">
        <v>3.28084</v>
      </c>
      <c r="C19" s="4" t="s">
        <v>5</v>
      </c>
      <c r="Q19" s="26" t="s">
        <v>152</v>
      </c>
    </row>
    <row r="20" spans="1:17">
      <c r="A20" s="4" t="s">
        <v>22</v>
      </c>
      <c r="B20" s="6">
        <v>1.8939400000000001E-4</v>
      </c>
      <c r="C20" s="4" t="s">
        <v>23</v>
      </c>
      <c r="Q20" s="26" t="s">
        <v>153</v>
      </c>
    </row>
    <row r="21" spans="1:17">
      <c r="A21" s="3" t="s">
        <v>24</v>
      </c>
      <c r="B21" s="7">
        <v>43559.9</v>
      </c>
      <c r="C21" s="4" t="s">
        <v>25</v>
      </c>
      <c r="Q21" s="26" t="s">
        <v>154</v>
      </c>
    </row>
    <row r="22" spans="1:17">
      <c r="A22" s="3" t="s">
        <v>26</v>
      </c>
      <c r="B22" s="7">
        <v>1613.33</v>
      </c>
      <c r="C22" s="4" t="s">
        <v>27</v>
      </c>
      <c r="Q22" s="26" t="s">
        <v>155</v>
      </c>
    </row>
    <row r="23" spans="1:17">
      <c r="A23" s="3" t="s">
        <v>28</v>
      </c>
      <c r="B23" s="8">
        <v>3600</v>
      </c>
      <c r="C23" s="4" t="s">
        <v>29</v>
      </c>
      <c r="Q23" s="26" t="s">
        <v>156</v>
      </c>
    </row>
    <row r="24" spans="1:17">
      <c r="A24" s="3" t="s">
        <v>30</v>
      </c>
      <c r="B24" s="8">
        <v>1000000</v>
      </c>
      <c r="C24" s="4" t="s">
        <v>31</v>
      </c>
      <c r="Q24" s="24"/>
    </row>
    <row r="25" spans="1:17">
      <c r="A25" s="3" t="s">
        <v>32</v>
      </c>
      <c r="B25" s="9">
        <v>9.81</v>
      </c>
      <c r="C25" s="4" t="s">
        <v>33</v>
      </c>
      <c r="Q25" s="25" t="s">
        <v>157</v>
      </c>
    </row>
    <row r="26" spans="1:17">
      <c r="A26" s="3" t="s">
        <v>34</v>
      </c>
      <c r="B26" s="8">
        <v>1000</v>
      </c>
      <c r="C26" s="4" t="s">
        <v>35</v>
      </c>
      <c r="Q26" s="26" t="s">
        <v>158</v>
      </c>
    </row>
    <row r="27" spans="1:17">
      <c r="A27" s="3"/>
      <c r="B27" s="6"/>
      <c r="C27" s="4"/>
      <c r="Q27" s="26" t="s">
        <v>159</v>
      </c>
    </row>
    <row r="28" spans="1:17">
      <c r="A28" s="2" t="s">
        <v>36</v>
      </c>
      <c r="B28" s="3"/>
      <c r="C28" s="4"/>
      <c r="Q28" s="26" t="s">
        <v>160</v>
      </c>
    </row>
    <row r="29" spans="1:17">
      <c r="A29" s="3" t="s">
        <v>37</v>
      </c>
      <c r="B29" s="3" t="s">
        <v>38</v>
      </c>
      <c r="C29" s="4" t="s">
        <v>3</v>
      </c>
      <c r="Q29" s="24"/>
    </row>
    <row r="30" spans="1:17">
      <c r="A30" s="3" t="s">
        <v>39</v>
      </c>
      <c r="B30" s="3" t="s">
        <v>97</v>
      </c>
      <c r="C30" s="4" t="s">
        <v>3</v>
      </c>
      <c r="Q30" s="25" t="s">
        <v>161</v>
      </c>
    </row>
    <row r="31" spans="1:17">
      <c r="A31" s="3" t="s">
        <v>40</v>
      </c>
      <c r="B31" s="3" t="s">
        <v>41</v>
      </c>
      <c r="C31" s="4" t="s">
        <v>3</v>
      </c>
      <c r="Q31" s="26" t="s">
        <v>162</v>
      </c>
    </row>
    <row r="32" spans="1:17">
      <c r="A32" s="3" t="s">
        <v>42</v>
      </c>
      <c r="B32" s="3" t="s">
        <v>47</v>
      </c>
      <c r="C32" s="3" t="s">
        <v>3</v>
      </c>
      <c r="Q32" s="26" t="s">
        <v>163</v>
      </c>
    </row>
    <row r="33" spans="1:17">
      <c r="A33" s="3" t="s">
        <v>44</v>
      </c>
      <c r="B33" s="3">
        <v>0</v>
      </c>
      <c r="C33" s="4" t="s">
        <v>23</v>
      </c>
      <c r="Q33" s="26" t="s">
        <v>42</v>
      </c>
    </row>
    <row r="34" spans="1:17">
      <c r="A34" s="3" t="s">
        <v>45</v>
      </c>
      <c r="B34" s="3">
        <v>1.25</v>
      </c>
      <c r="C34" s="4" t="s">
        <v>23</v>
      </c>
      <c r="Q34" s="24"/>
    </row>
    <row r="35" spans="1:17">
      <c r="A35" s="5" t="s">
        <v>46</v>
      </c>
      <c r="B35" s="3" t="s">
        <v>47</v>
      </c>
      <c r="C35" s="4" t="s">
        <v>3</v>
      </c>
      <c r="Q35" s="25" t="s">
        <v>164</v>
      </c>
    </row>
    <row r="36" spans="1:17">
      <c r="A36" s="5" t="s">
        <v>48</v>
      </c>
      <c r="B36" s="3">
        <v>0</v>
      </c>
      <c r="C36" s="4" t="s">
        <v>49</v>
      </c>
      <c r="Q36" s="24"/>
    </row>
    <row r="37" spans="1:17">
      <c r="A37" s="3"/>
      <c r="B37" s="3"/>
      <c r="C37" s="4"/>
      <c r="Q37" s="25" t="s">
        <v>165</v>
      </c>
    </row>
    <row r="38" spans="1:17">
      <c r="A38" s="2" t="s">
        <v>50</v>
      </c>
      <c r="B38" s="3"/>
      <c r="C38" s="4"/>
      <c r="Q38" s="24"/>
    </row>
    <row r="39" spans="1:17">
      <c r="A39" s="3" t="s">
        <v>51</v>
      </c>
      <c r="B39" s="3" t="s">
        <v>53</v>
      </c>
      <c r="C39" s="4" t="s">
        <v>3</v>
      </c>
      <c r="Q39" s="25" t="s">
        <v>166</v>
      </c>
    </row>
    <row r="40" spans="1:17">
      <c r="A40" s="3" t="s">
        <v>52</v>
      </c>
      <c r="B40" s="3" t="s">
        <v>53</v>
      </c>
      <c r="C40" s="4" t="s">
        <v>3</v>
      </c>
      <c r="Q40" s="26" t="s">
        <v>167</v>
      </c>
    </row>
    <row r="41" spans="1:17">
      <c r="A41" s="3" t="s">
        <v>54</v>
      </c>
      <c r="B41" s="3" t="s">
        <v>55</v>
      </c>
      <c r="C41" s="4" t="s">
        <v>3</v>
      </c>
      <c r="Q41" s="26"/>
    </row>
    <row r="42" spans="1:17">
      <c r="A42" s="3" t="s">
        <v>56</v>
      </c>
      <c r="B42" s="3" t="s">
        <v>57</v>
      </c>
      <c r="C42" s="4" t="s">
        <v>3</v>
      </c>
      <c r="Q42" s="25" t="s">
        <v>168</v>
      </c>
    </row>
    <row r="43" spans="1:17">
      <c r="A43" s="3" t="s">
        <v>58</v>
      </c>
      <c r="B43" s="3" t="s">
        <v>57</v>
      </c>
      <c r="C43" s="4" t="s">
        <v>3</v>
      </c>
      <c r="Q43" s="26" t="s">
        <v>169</v>
      </c>
    </row>
    <row r="44" spans="1:17">
      <c r="A44" s="3"/>
      <c r="B44" s="3"/>
      <c r="C44" s="4"/>
      <c r="Q44" s="26" t="s">
        <v>170</v>
      </c>
    </row>
    <row r="45" spans="1:17">
      <c r="A45" s="2" t="s">
        <v>59</v>
      </c>
      <c r="B45" s="10"/>
      <c r="C45" s="10"/>
      <c r="Q45" s="26" t="s">
        <v>171</v>
      </c>
    </row>
    <row r="46" spans="1:17">
      <c r="A46" s="3" t="s">
        <v>60</v>
      </c>
      <c r="B46" s="3" t="s">
        <v>43</v>
      </c>
      <c r="C46" s="4" t="s">
        <v>3</v>
      </c>
      <c r="Q46" s="26" t="s">
        <v>172</v>
      </c>
    </row>
    <row r="47" spans="1:17">
      <c r="A47" s="5" t="s">
        <v>61</v>
      </c>
      <c r="B47" s="11">
        <v>0.05</v>
      </c>
      <c r="C47" s="4" t="s">
        <v>62</v>
      </c>
      <c r="Q47" s="26" t="s">
        <v>173</v>
      </c>
    </row>
    <row r="48" spans="1:17">
      <c r="A48" s="5" t="s">
        <v>63</v>
      </c>
      <c r="B48" s="11">
        <v>1</v>
      </c>
      <c r="C48" s="4" t="s">
        <v>62</v>
      </c>
      <c r="Q48" s="26" t="s">
        <v>174</v>
      </c>
    </row>
    <row r="49" spans="1:5">
      <c r="A49" s="3" t="s">
        <v>64</v>
      </c>
      <c r="B49" s="11">
        <v>0.06</v>
      </c>
      <c r="C49" s="4" t="s">
        <v>62</v>
      </c>
    </row>
    <row r="50" spans="1:5">
      <c r="A50" s="5" t="s">
        <v>65</v>
      </c>
      <c r="B50" s="11">
        <v>0.33</v>
      </c>
      <c r="C50" s="4" t="s">
        <v>62</v>
      </c>
    </row>
    <row r="51" spans="1:5">
      <c r="A51" s="5" t="s">
        <v>66</v>
      </c>
      <c r="B51" s="11">
        <v>0.25</v>
      </c>
      <c r="C51" s="4" t="s">
        <v>62</v>
      </c>
    </row>
    <row r="52" spans="1:5">
      <c r="A52" s="3" t="s">
        <v>67</v>
      </c>
      <c r="B52" s="11">
        <v>0.03</v>
      </c>
      <c r="C52" s="4" t="s">
        <v>62</v>
      </c>
    </row>
    <row r="53" spans="1:5">
      <c r="A53" s="3" t="s">
        <v>68</v>
      </c>
      <c r="B53" s="11">
        <v>7.0000000000000007E-2</v>
      </c>
      <c r="C53" s="4" t="s">
        <v>62</v>
      </c>
    </row>
    <row r="54" spans="1:5">
      <c r="A54" s="10"/>
      <c r="B54" s="10"/>
      <c r="C54" s="10"/>
    </row>
    <row r="55" spans="1:5">
      <c r="A55" s="2" t="s">
        <v>69</v>
      </c>
      <c r="B55" s="10"/>
      <c r="C55" s="10"/>
    </row>
    <row r="56" spans="1:5">
      <c r="A56" s="5" t="s">
        <v>70</v>
      </c>
      <c r="B56" s="3">
        <f>D56*M15</f>
        <v>3.1068549999999999</v>
      </c>
      <c r="C56" s="4" t="s">
        <v>23</v>
      </c>
      <c r="D56">
        <v>5</v>
      </c>
      <c r="E56" t="s">
        <v>95</v>
      </c>
    </row>
    <row r="57" spans="1:5">
      <c r="A57" s="3" t="s">
        <v>71</v>
      </c>
      <c r="B57" s="3">
        <v>230</v>
      </c>
      <c r="C57" s="4" t="s">
        <v>72</v>
      </c>
    </row>
    <row r="58" spans="1:5">
      <c r="A58" s="5" t="s">
        <v>73</v>
      </c>
      <c r="B58" s="3">
        <v>230</v>
      </c>
      <c r="C58" s="4" t="s">
        <v>72</v>
      </c>
    </row>
    <row r="59" spans="1:5">
      <c r="A59" s="5" t="s">
        <v>74</v>
      </c>
      <c r="B59" s="3" t="s">
        <v>75</v>
      </c>
      <c r="C59" s="4" t="s">
        <v>3</v>
      </c>
    </row>
    <row r="60" spans="1:5">
      <c r="A60" s="5" t="s">
        <v>76</v>
      </c>
      <c r="B60" s="3" t="s">
        <v>77</v>
      </c>
      <c r="C60" s="4" t="s">
        <v>3</v>
      </c>
    </row>
    <row r="61" spans="1:5">
      <c r="A61" s="3"/>
      <c r="B61" s="9"/>
      <c r="C61" s="4"/>
    </row>
    <row r="62" spans="1:5">
      <c r="A62" s="2" t="s">
        <v>59</v>
      </c>
      <c r="B62" s="3"/>
      <c r="C62" s="3"/>
    </row>
    <row r="63" spans="1:5">
      <c r="A63" s="3" t="s">
        <v>78</v>
      </c>
      <c r="B63" s="11">
        <v>0.85</v>
      </c>
      <c r="C63" s="5" t="s">
        <v>79</v>
      </c>
    </row>
    <row r="64" spans="1:5">
      <c r="A64" s="5" t="s">
        <v>80</v>
      </c>
      <c r="B64" s="9">
        <v>0.7</v>
      </c>
      <c r="C64" s="4" t="s">
        <v>3</v>
      </c>
    </row>
    <row r="65" spans="1:4">
      <c r="A65" s="5" t="s">
        <v>81</v>
      </c>
      <c r="B65" s="3">
        <v>90</v>
      </c>
      <c r="C65" s="4" t="s">
        <v>3</v>
      </c>
    </row>
    <row r="66" spans="1:4">
      <c r="A66" s="5" t="s">
        <v>82</v>
      </c>
      <c r="B66" s="11">
        <v>0.88</v>
      </c>
      <c r="C66" s="4" t="s">
        <v>62</v>
      </c>
    </row>
    <row r="67" spans="1:4">
      <c r="A67" s="5" t="s">
        <v>83</v>
      </c>
      <c r="B67" s="3">
        <v>23</v>
      </c>
      <c r="C67" s="4" t="s">
        <v>84</v>
      </c>
    </row>
    <row r="68" spans="1:4">
      <c r="A68" s="5" t="s">
        <v>85</v>
      </c>
      <c r="B68" s="3">
        <v>35</v>
      </c>
      <c r="C68" s="4" t="s">
        <v>5</v>
      </c>
    </row>
    <row r="69" spans="1:4">
      <c r="A69" s="5" t="s">
        <v>86</v>
      </c>
      <c r="B69" s="3">
        <v>50</v>
      </c>
      <c r="C69" s="4" t="s">
        <v>87</v>
      </c>
    </row>
    <row r="70" spans="1:4">
      <c r="A70" s="5" t="s">
        <v>88</v>
      </c>
      <c r="B70" s="3">
        <v>2</v>
      </c>
      <c r="C70" s="4" t="s">
        <v>3</v>
      </c>
    </row>
    <row r="71" spans="1:4">
      <c r="A71" s="5" t="s">
        <v>89</v>
      </c>
      <c r="B71" s="9">
        <f>12/10</f>
        <v>1.2</v>
      </c>
      <c r="C71" s="5" t="s">
        <v>90</v>
      </c>
    </row>
    <row r="72" spans="1:4">
      <c r="A72" s="104" t="s">
        <v>99</v>
      </c>
      <c r="B72" s="103"/>
      <c r="C72" s="103"/>
    </row>
    <row r="73" spans="1:4">
      <c r="A73" s="13" t="s">
        <v>59</v>
      </c>
      <c r="B73" s="14"/>
      <c r="C73" s="14"/>
    </row>
    <row r="74" spans="1:4">
      <c r="A74" s="15" t="s">
        <v>100</v>
      </c>
      <c r="B74" s="16">
        <f>B10*B20</f>
        <v>1.3670171041120001</v>
      </c>
      <c r="C74" s="17" t="s">
        <v>23</v>
      </c>
    </row>
    <row r="75" spans="1:4">
      <c r="A75" s="15" t="s">
        <v>101</v>
      </c>
      <c r="B75" s="15">
        <f>B5*B6</f>
        <v>118607.22926535593</v>
      </c>
      <c r="C75" s="17" t="s">
        <v>102</v>
      </c>
    </row>
    <row r="76" spans="1:4">
      <c r="A76" s="15" t="s">
        <v>103</v>
      </c>
      <c r="B76" s="15">
        <f>B7*B8</f>
        <v>249245.43106863307</v>
      </c>
      <c r="C76" s="17" t="s">
        <v>102</v>
      </c>
    </row>
    <row r="77" spans="1:4">
      <c r="A77" s="15" t="s">
        <v>104</v>
      </c>
      <c r="B77" s="15">
        <f>(0.00009*B11^2+0.0039*B11+0.0707)*1000*B12</f>
        <v>18807154.652087849</v>
      </c>
      <c r="C77" s="17" t="s">
        <v>27</v>
      </c>
    </row>
    <row r="78" spans="1:4">
      <c r="A78" s="15" t="s">
        <v>105</v>
      </c>
      <c r="B78" s="15">
        <f>(0.00009*B13^2+0.0039*B13+0.0707)*1000*B14</f>
        <v>732788.95363181795</v>
      </c>
      <c r="C78" s="17" t="s">
        <v>27</v>
      </c>
    </row>
    <row r="79" spans="1:4">
      <c r="A79" s="15" t="s">
        <v>78</v>
      </c>
      <c r="B79" s="15">
        <f>B63*B75</f>
        <v>100816.14487555253</v>
      </c>
      <c r="C79" s="17" t="s">
        <v>102</v>
      </c>
    </row>
    <row r="80" spans="1:4">
      <c r="A80" s="15" t="s">
        <v>106</v>
      </c>
      <c r="B80" s="22">
        <f>B98*B16</f>
        <v>28978.314446556709</v>
      </c>
      <c r="C80" s="17" t="s">
        <v>107</v>
      </c>
      <c r="D80">
        <f>B16*B98</f>
        <v>28978.314446556709</v>
      </c>
    </row>
    <row r="81" spans="1:3">
      <c r="A81" s="19" t="s">
        <v>108</v>
      </c>
      <c r="B81" s="18">
        <f>B79*B21/B16/B23</f>
        <v>243974.51050914341</v>
      </c>
      <c r="C81" s="17" t="s">
        <v>109</v>
      </c>
    </row>
    <row r="82" spans="1:3">
      <c r="A82" s="19" t="s">
        <v>110</v>
      </c>
      <c r="B82" s="15">
        <f>B64*B9</f>
        <v>287.07349999999997</v>
      </c>
      <c r="C82" s="17" t="s">
        <v>5</v>
      </c>
    </row>
    <row r="83" spans="1:3">
      <c r="A83" s="19" t="s">
        <v>111</v>
      </c>
      <c r="B83" s="15">
        <f>(B82+B9)/2</f>
        <v>348.58924999999999</v>
      </c>
      <c r="C83" s="17" t="s">
        <v>5</v>
      </c>
    </row>
    <row r="84" spans="1:3">
      <c r="A84" s="19" t="s">
        <v>112</v>
      </c>
      <c r="B84" s="18">
        <f>(B82/B83)^0.5*B81</f>
        <v>221403.26062938076</v>
      </c>
      <c r="C84" s="17" t="s">
        <v>109</v>
      </c>
    </row>
    <row r="85" spans="1:3">
      <c r="A85" s="19" t="s">
        <v>113</v>
      </c>
      <c r="B85" s="18">
        <f>(B9/B83)^0.5*B81</f>
        <v>264627.51130415511</v>
      </c>
      <c r="C85" s="17" t="s">
        <v>109</v>
      </c>
    </row>
    <row r="86" spans="1:3">
      <c r="A86" s="19" t="s">
        <v>114</v>
      </c>
      <c r="B86" s="20">
        <f>((B85/B67)*4/PI())^0.5</f>
        <v>121.03434870304228</v>
      </c>
      <c r="C86" s="17" t="s">
        <v>5</v>
      </c>
    </row>
    <row r="87" spans="1:3">
      <c r="A87" s="19" t="s">
        <v>115</v>
      </c>
      <c r="B87" s="15">
        <f>IF(B86&lt;B68,1,2)</f>
        <v>2</v>
      </c>
      <c r="C87" s="17" t="s">
        <v>3</v>
      </c>
    </row>
    <row r="88" spans="1:3">
      <c r="A88" s="19" t="s">
        <v>116</v>
      </c>
      <c r="B88" s="20">
        <f>((B85/B87/B67)*4/PI())^0.5</f>
        <v>85.584208724418417</v>
      </c>
      <c r="C88" s="17" t="s">
        <v>5</v>
      </c>
    </row>
    <row r="89" spans="1:3">
      <c r="A89" s="19" t="s">
        <v>117</v>
      </c>
      <c r="B89" s="20">
        <f>B10/B83</f>
        <v>20.705882352941178</v>
      </c>
      <c r="C89" s="17" t="s">
        <v>3</v>
      </c>
    </row>
    <row r="90" spans="1:3">
      <c r="A90" s="15" t="s">
        <v>118</v>
      </c>
      <c r="B90" s="15" t="str">
        <f>IF(B89&gt;=7,"Yes","No")</f>
        <v>Yes</v>
      </c>
      <c r="C90" s="17" t="s">
        <v>3</v>
      </c>
    </row>
    <row r="91" spans="1:3">
      <c r="A91" s="19" t="s">
        <v>119</v>
      </c>
      <c r="B91" s="20">
        <f>4.73*B84^1.85/B65^1.85/B$88^4.87*B$10</f>
        <v>24.874458086622862</v>
      </c>
      <c r="C91" s="17" t="s">
        <v>5</v>
      </c>
    </row>
    <row r="92" spans="1:3">
      <c r="A92" s="19" t="s">
        <v>120</v>
      </c>
      <c r="B92" s="20">
        <f>4.73*B81^1.85/B$65^1.85/B$88^4.87*B$10</f>
        <v>29.768054167643992</v>
      </c>
      <c r="C92" s="17" t="s">
        <v>5</v>
      </c>
    </row>
    <row r="93" spans="1:3">
      <c r="A93" s="19" t="s">
        <v>121</v>
      </c>
      <c r="B93" s="20">
        <f>4.73*B85^1.85/B$65^1.85/B$88^4.87*B$10</f>
        <v>34.596960123037348</v>
      </c>
      <c r="C93" s="17" t="s">
        <v>5</v>
      </c>
    </row>
    <row r="94" spans="1:3">
      <c r="A94" s="19" t="s">
        <v>122</v>
      </c>
      <c r="B94" s="18">
        <f>B82-B91</f>
        <v>262.19904191337713</v>
      </c>
      <c r="C94" s="17" t="s">
        <v>5</v>
      </c>
    </row>
    <row r="95" spans="1:3">
      <c r="A95" s="19" t="s">
        <v>123</v>
      </c>
      <c r="B95" s="18">
        <f>B83-B92</f>
        <v>318.82119583235601</v>
      </c>
      <c r="C95" s="17" t="s">
        <v>5</v>
      </c>
    </row>
    <row r="96" spans="1:3">
      <c r="A96" s="19" t="s">
        <v>124</v>
      </c>
      <c r="B96" s="18">
        <f>B9-B93</f>
        <v>375.5080398769627</v>
      </c>
      <c r="C96" s="17" t="s">
        <v>5</v>
      </c>
    </row>
    <row r="97" spans="1:3">
      <c r="A97" s="19" t="s">
        <v>125</v>
      </c>
      <c r="B97" s="20">
        <f>B84*B94*B66*B25*B26/B24*(1/B19)^4</f>
        <v>4325.4031036170791</v>
      </c>
      <c r="C97" s="17" t="s">
        <v>87</v>
      </c>
    </row>
    <row r="98" spans="1:3">
      <c r="A98" s="19" t="s">
        <v>126</v>
      </c>
      <c r="B98" s="20">
        <f>B81*B95*B66*B25*B26/B24*(1/B19)^4</f>
        <v>5795.662889311342</v>
      </c>
      <c r="C98" s="17" t="s">
        <v>87</v>
      </c>
    </row>
    <row r="99" spans="1:3">
      <c r="A99" s="19" t="s">
        <v>127</v>
      </c>
      <c r="B99" s="20">
        <f>B85*B94*B96*B25*B26/B24*(1/B19)^4</f>
        <v>2206043.8225230612</v>
      </c>
      <c r="C99" s="17" t="s">
        <v>87</v>
      </c>
    </row>
    <row r="100" spans="1:3">
      <c r="A100" s="19" t="s">
        <v>128</v>
      </c>
      <c r="B100" s="18">
        <f>IF(B99/B69&lt;=B70,B70,ROUNDUP(B99/B68,0))</f>
        <v>63030</v>
      </c>
      <c r="C100" s="17" t="s">
        <v>3</v>
      </c>
    </row>
    <row r="101" spans="1:3">
      <c r="A101" s="19" t="s">
        <v>129</v>
      </c>
      <c r="B101" s="20">
        <f>B99/B100</f>
        <v>34.999901991481217</v>
      </c>
      <c r="C101" s="17" t="s">
        <v>87</v>
      </c>
    </row>
    <row r="102" spans="1:3">
      <c r="A102" s="19" t="s">
        <v>130</v>
      </c>
      <c r="B102" s="18">
        <f>0.0074*B9+16.512</f>
        <v>19.546776999999999</v>
      </c>
      <c r="C102" s="17" t="s">
        <v>84</v>
      </c>
    </row>
    <row r="103" spans="1:3">
      <c r="A103" s="19" t="s">
        <v>131</v>
      </c>
      <c r="B103" s="18">
        <f>0.0046*(B9-B82)+7.516</f>
        <v>8.0819448999999999</v>
      </c>
      <c r="C103" s="17" t="s">
        <v>84</v>
      </c>
    </row>
    <row r="104" spans="1:3">
      <c r="A104" s="19" t="s">
        <v>132</v>
      </c>
      <c r="B104" s="18">
        <f>(B85/B102/B100*(4/PI()))^0.5</f>
        <v>0.52295139137894109</v>
      </c>
      <c r="C104" s="17" t="s">
        <v>5</v>
      </c>
    </row>
    <row r="105" spans="1:3">
      <c r="A105" s="19" t="s">
        <v>133</v>
      </c>
      <c r="B105" s="18">
        <f>(B85/B103/B100*4/PI())^0.5</f>
        <v>0.8132816236166065</v>
      </c>
      <c r="C105" s="17" t="s">
        <v>5</v>
      </c>
    </row>
    <row r="106" spans="1:3">
      <c r="A106" s="19" t="s">
        <v>89</v>
      </c>
      <c r="B106" s="20">
        <f>B71*B16</f>
        <v>6</v>
      </c>
      <c r="C106" s="17" t="s">
        <v>134</v>
      </c>
    </row>
    <row r="107" spans="1:3">
      <c r="A107" s="19" t="s">
        <v>135</v>
      </c>
      <c r="B107" s="18">
        <f>B79*B21/B106/B23</f>
        <v>203312.09209095282</v>
      </c>
      <c r="C107" s="17" t="s">
        <v>109</v>
      </c>
    </row>
    <row r="108" spans="1:3">
      <c r="A108" s="19" t="s">
        <v>136</v>
      </c>
      <c r="B108" s="20">
        <f>4.73*B107^1.85/B65^1.85/B88^4.87*B10</f>
        <v>21.245411244873853</v>
      </c>
      <c r="C108" s="17" t="s">
        <v>5</v>
      </c>
    </row>
    <row r="109" spans="1:3">
      <c r="A109" s="19" t="s">
        <v>137</v>
      </c>
      <c r="B109" s="18">
        <f>B83+B108</f>
        <v>369.83466124487387</v>
      </c>
      <c r="C109" s="17" t="s">
        <v>5</v>
      </c>
    </row>
    <row r="110" spans="1:3">
      <c r="A110" s="19" t="s">
        <v>138</v>
      </c>
      <c r="B110" s="18">
        <f>B107*B109*B66*$B$25*$B$26/$B$24*(1/B19)^4</f>
        <v>5602.5055458907318</v>
      </c>
      <c r="C110" s="17" t="s">
        <v>87</v>
      </c>
    </row>
    <row r="111" spans="1:3">
      <c r="A111" s="19" t="s">
        <v>139</v>
      </c>
      <c r="B111" s="21">
        <v>1.75</v>
      </c>
      <c r="C111" s="17" t="s">
        <v>3</v>
      </c>
    </row>
    <row r="112" spans="1:3">
      <c r="A112" s="19" t="s">
        <v>140</v>
      </c>
      <c r="B112" s="21">
        <f>IF(B59="Double",'[1]Cost Curves L-PSH'!H281,1)</f>
        <v>1</v>
      </c>
      <c r="C112" s="17" t="s">
        <v>3</v>
      </c>
    </row>
  </sheetData>
  <mergeCells count="2">
    <mergeCell ref="A1:C1"/>
    <mergeCell ref="A72:C72"/>
  </mergeCells>
  <phoneticPr fontId="18" type="noConversion"/>
  <dataValidations disablePrompts="1" count="9">
    <dataValidation type="list" allowBlank="1" showErrorMessage="1" sqref="B60" xr:uid="{5E29921F-1397-4885-9CB4-2EE37C1CCC26}">
      <formula1>"Single,Double"</formula1>
    </dataValidation>
    <dataValidation type="list" allowBlank="1" showErrorMessage="1" sqref="B42:B43" xr:uid="{D9530B06-DB69-4C78-BD08-B170C6217D55}">
      <formula1>"Underground,Surface"</formula1>
    </dataValidation>
    <dataValidation type="list" allowBlank="1" showErrorMessage="1" sqref="B41" xr:uid="{07FF63C1-F24F-4876-8DC1-4D7BB66D5977}">
      <formula1>"Average,Adverse"</formula1>
    </dataValidation>
    <dataValidation type="list" allowBlank="1" showErrorMessage="1" sqref="B30" xr:uid="{54F45391-1B74-4DEF-B330-8D2E7A0DE34D}">
      <formula1>"Steep,Mild,Flat"</formula1>
    </dataValidation>
    <dataValidation type="list" allowBlank="1" showErrorMessage="1" sqref="B32 B35 B37 B46" xr:uid="{4CF2D7E2-5915-4653-8895-474B0D38DD7D}">
      <formula1>"Yes,No"</formula1>
    </dataValidation>
    <dataValidation type="list" allowBlank="1" showErrorMessage="1" sqref="B29" xr:uid="{5CF6488F-A411-49D5-A641-3D2444088F70}">
      <formula1>"Average,Poor"</formula1>
    </dataValidation>
    <dataValidation type="list" allowBlank="1" showErrorMessage="1" sqref="B31" xr:uid="{88A684F2-C9AD-4C85-A8C4-5D213E272161}">
      <formula1>"New,Rebuild"</formula1>
    </dataValidation>
    <dataValidation type="list" allowBlank="1" showErrorMessage="1" sqref="B39:B40" xr:uid="{B86546CE-4FE4-4BE4-81BC-A3806A5E56DB}">
      <formula1>"Horizontal,Vertical"</formula1>
    </dataValidation>
    <dataValidation type="list" allowBlank="1" showErrorMessage="1" sqref="B44" xr:uid="{764337EA-2FBB-4C04-924B-A241B9B6400B}">
      <formula1>"Standby,No Standby"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E934-DEE0-4A38-827E-218D2E76902A}">
  <dimension ref="A1:L40"/>
  <sheetViews>
    <sheetView topLeftCell="A27" workbookViewId="0">
      <selection activeCell="B29" sqref="B29"/>
    </sheetView>
  </sheetViews>
  <sheetFormatPr defaultRowHeight="18"/>
  <cols>
    <col min="1" max="1" width="30.33203125" bestFit="1" customWidth="1"/>
    <col min="2" max="2" width="11.75" bestFit="1" customWidth="1"/>
    <col min="4" max="4" width="10.75" bestFit="1" customWidth="1"/>
    <col min="10" max="10" width="23.6640625" bestFit="1" customWidth="1"/>
    <col min="11" max="11" width="11.75" bestFit="1" customWidth="1"/>
  </cols>
  <sheetData>
    <row r="1" spans="1:12">
      <c r="A1" t="s">
        <v>59</v>
      </c>
    </row>
    <row r="2" spans="1:12">
      <c r="A2" t="s">
        <v>100</v>
      </c>
      <c r="B2">
        <v>1.3670171041120001</v>
      </c>
      <c r="C2" t="s">
        <v>23</v>
      </c>
      <c r="D2">
        <f>B2*K27</f>
        <v>2199.9953063316061</v>
      </c>
      <c r="J2" s="85" t="s">
        <v>20</v>
      </c>
      <c r="K2" s="86"/>
      <c r="L2" s="87"/>
    </row>
    <row r="3" spans="1:12">
      <c r="A3" t="s">
        <v>101</v>
      </c>
      <c r="B3">
        <v>118606.94277179999</v>
      </c>
      <c r="C3" t="s">
        <v>102</v>
      </c>
      <c r="D3">
        <f>K26</f>
        <v>1233.4806109182769</v>
      </c>
      <c r="J3" s="88" t="s">
        <v>21</v>
      </c>
      <c r="K3" s="86">
        <v>3.28084</v>
      </c>
      <c r="L3" s="89" t="s">
        <v>5</v>
      </c>
    </row>
    <row r="4" spans="1:12">
      <c r="A4" t="s">
        <v>103</v>
      </c>
      <c r="B4">
        <v>882.28510635800001</v>
      </c>
      <c r="C4" t="s">
        <v>102</v>
      </c>
      <c r="D4">
        <f>B4*K26</f>
        <v>1088281.5719945626</v>
      </c>
      <c r="J4" s="88" t="s">
        <v>22</v>
      </c>
      <c r="K4" s="90">
        <v>1.8939400000000001E-4</v>
      </c>
      <c r="L4" s="89" t="s">
        <v>23</v>
      </c>
    </row>
    <row r="5" spans="1:12">
      <c r="A5" t="s">
        <v>104</v>
      </c>
      <c r="B5">
        <v>18807154.652087849</v>
      </c>
      <c r="C5" t="s">
        <v>27</v>
      </c>
      <c r="D5">
        <f>B5*K28</f>
        <v>14379104.125027025</v>
      </c>
      <c r="J5" s="86" t="s">
        <v>24</v>
      </c>
      <c r="K5" s="91">
        <v>43559.9</v>
      </c>
      <c r="L5" s="89" t="s">
        <v>25</v>
      </c>
    </row>
    <row r="6" spans="1:12">
      <c r="A6" t="s">
        <v>105</v>
      </c>
      <c r="B6">
        <v>732788.95363181795</v>
      </c>
      <c r="C6" t="s">
        <v>27</v>
      </c>
      <c r="D6">
        <f>B6*K28</f>
        <v>560257.45844397461</v>
      </c>
      <c r="J6" s="86" t="s">
        <v>26</v>
      </c>
      <c r="K6" s="91">
        <v>1613.33</v>
      </c>
      <c r="L6" s="89" t="s">
        <v>27</v>
      </c>
    </row>
    <row r="7" spans="1:12">
      <c r="A7" t="s">
        <v>78</v>
      </c>
      <c r="B7">
        <v>2075.6214985065003</v>
      </c>
      <c r="C7" t="s">
        <v>102</v>
      </c>
      <c r="D7">
        <f>K26*B7</f>
        <v>2560238.874012907</v>
      </c>
      <c r="E7" t="s">
        <v>277</v>
      </c>
      <c r="J7" s="86" t="s">
        <v>28</v>
      </c>
      <c r="K7" s="92">
        <v>3600</v>
      </c>
      <c r="L7" s="89" t="s">
        <v>29</v>
      </c>
    </row>
    <row r="8" spans="1:12">
      <c r="A8" t="s">
        <v>106</v>
      </c>
      <c r="B8">
        <v>610.46757181135058</v>
      </c>
      <c r="C8" t="s">
        <v>107</v>
      </c>
      <c r="J8" s="86" t="s">
        <v>30</v>
      </c>
      <c r="K8" s="92">
        <v>1000000</v>
      </c>
      <c r="L8" s="89" t="s">
        <v>31</v>
      </c>
    </row>
    <row r="9" spans="1:12">
      <c r="A9" t="s">
        <v>108</v>
      </c>
      <c r="B9">
        <v>4185.8270792959866</v>
      </c>
      <c r="C9" t="s">
        <v>109</v>
      </c>
      <c r="D9">
        <f>K24*B9</f>
        <v>118.52942497288238</v>
      </c>
      <c r="J9" s="86" t="s">
        <v>32</v>
      </c>
      <c r="K9" s="93">
        <v>9.81</v>
      </c>
      <c r="L9" s="89" t="s">
        <v>33</v>
      </c>
    </row>
    <row r="10" spans="1:12">
      <c r="A10" t="s">
        <v>110</v>
      </c>
      <c r="B10">
        <v>410.10500000000002</v>
      </c>
      <c r="C10" t="s">
        <v>5</v>
      </c>
      <c r="D10">
        <f>B10*$K$16</f>
        <v>125</v>
      </c>
      <c r="J10" s="86" t="s">
        <v>34</v>
      </c>
      <c r="K10" s="92">
        <v>1000</v>
      </c>
      <c r="L10" s="89" t="s">
        <v>35</v>
      </c>
    </row>
    <row r="11" spans="1:12">
      <c r="A11" t="s">
        <v>111</v>
      </c>
      <c r="B11">
        <v>410.10500000000002</v>
      </c>
      <c r="C11" t="s">
        <v>5</v>
      </c>
      <c r="D11">
        <f>B11*$K$16</f>
        <v>125</v>
      </c>
      <c r="J11" s="94" t="s">
        <v>284</v>
      </c>
      <c r="K11">
        <v>35.314666212661002</v>
      </c>
      <c r="L11" t="s">
        <v>109</v>
      </c>
    </row>
    <row r="12" spans="1:12">
      <c r="A12" t="s">
        <v>112</v>
      </c>
      <c r="B12">
        <v>4185.8270792959866</v>
      </c>
      <c r="C12" t="s">
        <v>109</v>
      </c>
      <c r="D12">
        <f>K24*B12</f>
        <v>118.52942497288238</v>
      </c>
      <c r="J12" t="s">
        <v>285</v>
      </c>
      <c r="K12" s="95">
        <v>2.29568E-5</v>
      </c>
      <c r="L12" s="89" t="s">
        <v>286</v>
      </c>
    </row>
    <row r="13" spans="1:12">
      <c r="A13" t="s">
        <v>113</v>
      </c>
      <c r="B13">
        <v>4185.8270792959866</v>
      </c>
      <c r="C13" t="s">
        <v>109</v>
      </c>
      <c r="D13">
        <f>K24*B13</f>
        <v>118.52942497288238</v>
      </c>
      <c r="J13" s="86" t="s">
        <v>287</v>
      </c>
      <c r="K13">
        <v>8.1071400000000003E-4</v>
      </c>
      <c r="L13" s="89" t="s">
        <v>288</v>
      </c>
    </row>
    <row r="14" spans="1:12">
      <c r="A14" t="s">
        <v>114</v>
      </c>
      <c r="B14">
        <v>15.222352793040237</v>
      </c>
      <c r="C14" t="s">
        <v>5</v>
      </c>
      <c r="D14">
        <f>B14*K16</f>
        <v>4.6397729828459289</v>
      </c>
    </row>
    <row r="15" spans="1:12">
      <c r="A15" t="s">
        <v>115</v>
      </c>
      <c r="B15">
        <v>1</v>
      </c>
      <c r="C15" t="s">
        <v>3</v>
      </c>
      <c r="J15" s="85" t="s">
        <v>20</v>
      </c>
      <c r="K15" s="86"/>
      <c r="L15" s="87"/>
    </row>
    <row r="16" spans="1:12">
      <c r="A16" t="s">
        <v>116</v>
      </c>
      <c r="B16">
        <v>15.222352793040237</v>
      </c>
      <c r="C16" t="s">
        <v>5</v>
      </c>
      <c r="D16">
        <f>B16*K16</f>
        <v>4.6397729828459289</v>
      </c>
      <c r="J16" s="88" t="s">
        <v>289</v>
      </c>
      <c r="K16" s="86">
        <f>1/K3</f>
        <v>0.30479999024640031</v>
      </c>
      <c r="L16" s="89"/>
    </row>
    <row r="17" spans="1:12">
      <c r="A17" t="s">
        <v>117</v>
      </c>
      <c r="B17">
        <v>17.599999999999998</v>
      </c>
      <c r="C17" t="s">
        <v>3</v>
      </c>
      <c r="J17" s="88" t="s">
        <v>290</v>
      </c>
      <c r="K17" s="86">
        <f t="shared" ref="K17:K26" si="0">1/K4</f>
        <v>5279.9983104005405</v>
      </c>
      <c r="L17" s="89"/>
    </row>
    <row r="18" spans="1:12">
      <c r="A18" t="s">
        <v>118</v>
      </c>
      <c r="B18" t="s">
        <v>43</v>
      </c>
      <c r="C18" t="s">
        <v>3</v>
      </c>
      <c r="J18" s="86" t="s">
        <v>291</v>
      </c>
      <c r="K18" s="86">
        <f t="shared" si="0"/>
        <v>2.2956893840435812E-5</v>
      </c>
      <c r="L18" s="89"/>
    </row>
    <row r="19" spans="1:12">
      <c r="A19" t="s">
        <v>119</v>
      </c>
      <c r="B19">
        <v>72.365125806715696</v>
      </c>
      <c r="C19" t="s">
        <v>5</v>
      </c>
      <c r="D19">
        <f>B19*$K$16</f>
        <v>22.056889640066476</v>
      </c>
      <c r="J19" s="86" t="s">
        <v>292</v>
      </c>
      <c r="K19" s="86">
        <f t="shared" si="0"/>
        <v>6.1983599139667645E-4</v>
      </c>
      <c r="L19" s="89"/>
    </row>
    <row r="20" spans="1:12">
      <c r="A20" t="s">
        <v>120</v>
      </c>
      <c r="B20">
        <v>72.365125806715696</v>
      </c>
      <c r="C20" t="s">
        <v>5</v>
      </c>
      <c r="D20">
        <f>B20*$K$16</f>
        <v>22.056889640066476</v>
      </c>
      <c r="J20" s="86" t="s">
        <v>293</v>
      </c>
      <c r="K20" s="86">
        <f t="shared" si="0"/>
        <v>2.7777777777777778E-4</v>
      </c>
      <c r="L20" s="89"/>
    </row>
    <row r="21" spans="1:12">
      <c r="A21" t="s">
        <v>121</v>
      </c>
      <c r="B21">
        <v>72.365125806715696</v>
      </c>
      <c r="C21" t="s">
        <v>5</v>
      </c>
      <c r="D21">
        <f t="shared" ref="D21:D24" si="1">B21*$K$16</f>
        <v>22.056889640066476</v>
      </c>
      <c r="J21" s="86" t="s">
        <v>294</v>
      </c>
      <c r="K21" s="86">
        <f t="shared" si="0"/>
        <v>9.9999999999999995E-7</v>
      </c>
      <c r="L21" s="89"/>
    </row>
    <row r="22" spans="1:12">
      <c r="A22" t="s">
        <v>122</v>
      </c>
      <c r="B22">
        <v>337.73987419328432</v>
      </c>
      <c r="C22" t="s">
        <v>5</v>
      </c>
      <c r="D22">
        <f t="shared" si="1"/>
        <v>102.94311035993353</v>
      </c>
      <c r="J22" s="86" t="s">
        <v>32</v>
      </c>
      <c r="K22" s="86">
        <v>9.81</v>
      </c>
      <c r="L22" s="89"/>
    </row>
    <row r="23" spans="1:12">
      <c r="A23" t="s">
        <v>123</v>
      </c>
      <c r="B23">
        <v>337.73987419328432</v>
      </c>
      <c r="C23" t="s">
        <v>5</v>
      </c>
      <c r="D23">
        <f t="shared" si="1"/>
        <v>102.94311035993353</v>
      </c>
      <c r="J23" s="86" t="s">
        <v>34</v>
      </c>
      <c r="K23" s="86">
        <v>1000</v>
      </c>
      <c r="L23" s="89"/>
    </row>
    <row r="24" spans="1:12">
      <c r="A24" t="s">
        <v>124</v>
      </c>
      <c r="B24">
        <v>337.73987419328432</v>
      </c>
      <c r="C24" t="s">
        <v>5</v>
      </c>
      <c r="D24">
        <f t="shared" si="1"/>
        <v>102.94311035993353</v>
      </c>
      <c r="J24" s="94" t="s">
        <v>295</v>
      </c>
      <c r="K24" s="86">
        <f t="shared" si="0"/>
        <v>2.8316847000000252E-2</v>
      </c>
    </row>
    <row r="25" spans="1:12">
      <c r="A25" t="s">
        <v>125</v>
      </c>
      <c r="B25">
        <v>101.74459530189176</v>
      </c>
      <c r="C25" t="s">
        <v>87</v>
      </c>
      <c r="J25" t="s">
        <v>296</v>
      </c>
      <c r="K25" s="86">
        <f t="shared" si="0"/>
        <v>43560.078059659885</v>
      </c>
      <c r="L25" s="89"/>
    </row>
    <row r="26" spans="1:12">
      <c r="A26" t="s">
        <v>126</v>
      </c>
      <c r="B26">
        <v>101.74459530189176</v>
      </c>
      <c r="C26" t="s">
        <v>87</v>
      </c>
      <c r="J26" s="86" t="s">
        <v>297</v>
      </c>
      <c r="K26" s="86">
        <f t="shared" si="0"/>
        <v>1233.4806109182769</v>
      </c>
      <c r="L26" s="89"/>
    </row>
    <row r="27" spans="1:12">
      <c r="A27" t="s">
        <v>127</v>
      </c>
      <c r="B27">
        <v>101.74459530189176</v>
      </c>
      <c r="C27" t="s">
        <v>87</v>
      </c>
      <c r="J27" s="86" t="s">
        <v>298</v>
      </c>
      <c r="K27">
        <v>1609.34</v>
      </c>
      <c r="L27" s="89" t="s">
        <v>299</v>
      </c>
    </row>
    <row r="28" spans="1:12">
      <c r="A28" t="s">
        <v>128</v>
      </c>
      <c r="B28">
        <v>2</v>
      </c>
      <c r="C28" t="s">
        <v>3</v>
      </c>
      <c r="J28" s="86" t="s">
        <v>300</v>
      </c>
      <c r="K28">
        <v>0.76455499999999998</v>
      </c>
    </row>
    <row r="29" spans="1:12">
      <c r="A29" t="s">
        <v>129</v>
      </c>
      <c r="B29">
        <v>50.872297650945882</v>
      </c>
      <c r="C29" t="s">
        <v>87</v>
      </c>
    </row>
    <row r="30" spans="1:12">
      <c r="A30" t="s">
        <v>130</v>
      </c>
      <c r="B30">
        <v>19.546776999999999</v>
      </c>
      <c r="C30" t="s">
        <v>84</v>
      </c>
      <c r="D30">
        <f>B30*$K$16</f>
        <v>5.9578574389485617</v>
      </c>
    </row>
    <row r="31" spans="1:12">
      <c r="A31" t="s">
        <v>131</v>
      </c>
      <c r="B31">
        <v>7.516</v>
      </c>
      <c r="C31" t="s">
        <v>84</v>
      </c>
      <c r="D31">
        <f t="shared" ref="D31:D33" si="2">B31*$K$16</f>
        <v>2.2908767266919448</v>
      </c>
    </row>
    <row r="32" spans="1:12">
      <c r="A32" t="s">
        <v>132</v>
      </c>
      <c r="B32">
        <v>11.675974126480401</v>
      </c>
      <c r="C32" t="s">
        <v>5</v>
      </c>
      <c r="D32">
        <f t="shared" si="2"/>
        <v>3.5588367998684487</v>
      </c>
    </row>
    <row r="33" spans="1:4">
      <c r="A33" t="s">
        <v>133</v>
      </c>
      <c r="B33">
        <v>18.8294362446421</v>
      </c>
      <c r="C33" t="s">
        <v>5</v>
      </c>
      <c r="D33">
        <f t="shared" si="2"/>
        <v>5.7392119837121287</v>
      </c>
    </row>
    <row r="34" spans="1:4">
      <c r="A34" t="s">
        <v>89</v>
      </c>
      <c r="B34">
        <v>6</v>
      </c>
      <c r="C34" t="s">
        <v>134</v>
      </c>
    </row>
    <row r="35" spans="1:4">
      <c r="A35" t="s">
        <v>135</v>
      </c>
      <c r="B35">
        <v>4185.8270792959866</v>
      </c>
      <c r="C35" t="s">
        <v>109</v>
      </c>
      <c r="D35">
        <f>B35*K24</f>
        <v>118.52942497288238</v>
      </c>
    </row>
    <row r="36" spans="1:4">
      <c r="A36" t="s">
        <v>136</v>
      </c>
      <c r="B36">
        <v>72.365125806715696</v>
      </c>
      <c r="C36" t="s">
        <v>5</v>
      </c>
      <c r="D36">
        <f>B36*$K$16</f>
        <v>22.056889640066476</v>
      </c>
    </row>
    <row r="37" spans="1:4">
      <c r="A37" t="s">
        <v>137</v>
      </c>
      <c r="B37">
        <v>482.47012580671571</v>
      </c>
      <c r="C37" t="s">
        <v>5</v>
      </c>
      <c r="D37">
        <f>B37*$K$16</f>
        <v>147.05688964006649</v>
      </c>
    </row>
    <row r="38" spans="1:4">
      <c r="A38" t="s">
        <v>138</v>
      </c>
      <c r="B38">
        <v>145.34477995146122</v>
      </c>
      <c r="C38" t="s">
        <v>87</v>
      </c>
    </row>
    <row r="39" spans="1:4">
      <c r="A39" t="s">
        <v>139</v>
      </c>
      <c r="B39">
        <v>1.75</v>
      </c>
      <c r="C39" t="s">
        <v>3</v>
      </c>
    </row>
    <row r="40" spans="1:4">
      <c r="A40" t="s">
        <v>140</v>
      </c>
      <c r="B40">
        <v>1.6004696290247125</v>
      </c>
      <c r="C40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1012-E5D2-4687-AF18-3CE4E9619333}">
  <sheetPr>
    <tabColor theme="7"/>
  </sheetPr>
  <dimension ref="A1:H26"/>
  <sheetViews>
    <sheetView topLeftCell="A24" zoomScale="150" workbookViewId="0">
      <selection activeCell="I6" sqref="I6"/>
    </sheetView>
  </sheetViews>
  <sheetFormatPr defaultRowHeight="18"/>
  <cols>
    <col min="1" max="1" width="28.9140625" customWidth="1"/>
    <col min="2" max="2" width="11.75" hidden="1" customWidth="1"/>
    <col min="3" max="3" width="4.9140625" hidden="1" customWidth="1"/>
    <col min="4" max="4" width="11.25" hidden="1" customWidth="1"/>
    <col min="5" max="5" width="0" hidden="1" customWidth="1"/>
    <col min="6" max="6" width="11.25" hidden="1" customWidth="1"/>
    <col min="7" max="7" width="13.83203125" hidden="1" customWidth="1"/>
    <col min="8" max="8" width="14.1640625" bestFit="1" customWidth="1"/>
  </cols>
  <sheetData>
    <row r="1" spans="1:8">
      <c r="A1" s="64" t="s">
        <v>59</v>
      </c>
    </row>
    <row r="2" spans="1:8">
      <c r="A2" s="97" t="s">
        <v>101</v>
      </c>
      <c r="B2" s="97">
        <v>118606.94277179999</v>
      </c>
      <c r="C2" s="97" t="s">
        <v>102</v>
      </c>
      <c r="D2" s="98">
        <v>1233.4806109182769</v>
      </c>
      <c r="E2" s="99" t="s">
        <v>92</v>
      </c>
      <c r="F2" s="100">
        <v>1233.48</v>
      </c>
      <c r="G2" s="99" t="str">
        <f>_xlfn.CONCAT(F2," ",E2)</f>
        <v>1233.48 m</v>
      </c>
      <c r="H2" s="99" t="s">
        <v>305</v>
      </c>
    </row>
    <row r="3" spans="1:8" ht="19.8">
      <c r="A3" s="97" t="s">
        <v>103</v>
      </c>
      <c r="B3" s="97">
        <v>882.28510635800001</v>
      </c>
      <c r="C3" s="97" t="s">
        <v>102</v>
      </c>
      <c r="D3" s="98">
        <v>1088281.5719945626</v>
      </c>
      <c r="E3" s="99" t="s">
        <v>301</v>
      </c>
      <c r="F3" s="100">
        <v>1088281.57</v>
      </c>
      <c r="G3" s="99" t="str">
        <f t="shared" ref="G3:G23" si="0">_xlfn.CONCAT(F3," ",E3)</f>
        <v>1088281.57 m3</v>
      </c>
      <c r="H3" s="99" t="s">
        <v>321</v>
      </c>
    </row>
    <row r="4" spans="1:8" ht="19.8">
      <c r="A4" s="97" t="s">
        <v>104</v>
      </c>
      <c r="B4" s="97">
        <v>18807154.652087849</v>
      </c>
      <c r="C4" s="97" t="s">
        <v>27</v>
      </c>
      <c r="D4" s="98">
        <v>14379104.125027025</v>
      </c>
      <c r="E4" s="99" t="s">
        <v>301</v>
      </c>
      <c r="F4" s="100">
        <v>14379104.119999999</v>
      </c>
      <c r="G4" s="99" t="str">
        <f t="shared" si="0"/>
        <v>14379104.12 m3</v>
      </c>
      <c r="H4" s="99" t="s">
        <v>322</v>
      </c>
    </row>
    <row r="5" spans="1:8" ht="19.8">
      <c r="A5" s="97" t="s">
        <v>105</v>
      </c>
      <c r="B5" s="97">
        <v>732788.95363181795</v>
      </c>
      <c r="C5" s="97" t="s">
        <v>27</v>
      </c>
      <c r="D5" s="98">
        <v>560257.45844397461</v>
      </c>
      <c r="E5" s="99" t="s">
        <v>301</v>
      </c>
      <c r="F5" s="100">
        <v>560257.44999999995</v>
      </c>
      <c r="G5" s="99" t="str">
        <f t="shared" si="0"/>
        <v>560257.45 m3</v>
      </c>
      <c r="H5" s="99" t="s">
        <v>323</v>
      </c>
    </row>
    <row r="6" spans="1:8" ht="19.8">
      <c r="A6" s="97" t="s">
        <v>78</v>
      </c>
      <c r="B6" s="97">
        <v>2075.6214985065003</v>
      </c>
      <c r="C6" s="97" t="s">
        <v>102</v>
      </c>
      <c r="D6" s="98">
        <v>2560238.874012907</v>
      </c>
      <c r="E6" s="99" t="s">
        <v>301</v>
      </c>
      <c r="F6" s="100">
        <v>2560238.87</v>
      </c>
      <c r="G6" s="99" t="str">
        <f t="shared" si="0"/>
        <v>2560238.87 m3</v>
      </c>
      <c r="H6" s="99" t="s">
        <v>324</v>
      </c>
    </row>
    <row r="7" spans="1:8">
      <c r="A7" s="99" t="s">
        <v>106</v>
      </c>
      <c r="B7" s="99">
        <v>610.46757181135058</v>
      </c>
      <c r="C7" s="99" t="s">
        <v>107</v>
      </c>
      <c r="D7" s="100">
        <v>610.46757181135058</v>
      </c>
      <c r="E7" s="99" t="s">
        <v>107</v>
      </c>
      <c r="F7" s="100">
        <v>610.46</v>
      </c>
      <c r="G7" s="99" t="str">
        <f t="shared" si="0"/>
        <v>610.46 MWh</v>
      </c>
      <c r="H7" s="99" t="s">
        <v>306</v>
      </c>
    </row>
    <row r="8" spans="1:8" ht="19.8">
      <c r="A8" s="99" t="s">
        <v>108</v>
      </c>
      <c r="B8" s="99">
        <v>4185.8270792959866</v>
      </c>
      <c r="C8" s="99" t="s">
        <v>109</v>
      </c>
      <c r="D8" s="100">
        <v>118.52942497288238</v>
      </c>
      <c r="E8" s="99" t="s">
        <v>302</v>
      </c>
      <c r="F8" s="100">
        <v>118.52</v>
      </c>
      <c r="G8" s="99" t="str">
        <f t="shared" si="0"/>
        <v>118.52 m3/s</v>
      </c>
      <c r="H8" s="99" t="s">
        <v>325</v>
      </c>
    </row>
    <row r="9" spans="1:8">
      <c r="A9" s="99" t="s">
        <v>111</v>
      </c>
      <c r="B9" s="99">
        <v>410.10500000000002</v>
      </c>
      <c r="C9" s="99" t="s">
        <v>5</v>
      </c>
      <c r="D9" s="100">
        <v>125</v>
      </c>
      <c r="E9" s="99" t="s">
        <v>92</v>
      </c>
      <c r="F9" s="100">
        <v>125</v>
      </c>
      <c r="G9" s="99" t="str">
        <f t="shared" si="0"/>
        <v>125 m</v>
      </c>
      <c r="H9" s="99" t="s">
        <v>307</v>
      </c>
    </row>
    <row r="10" spans="1:8">
      <c r="A10" s="99" t="s">
        <v>114</v>
      </c>
      <c r="B10" s="99">
        <v>15.222352793040237</v>
      </c>
      <c r="C10" s="99" t="s">
        <v>5</v>
      </c>
      <c r="D10" s="100">
        <v>4.6397729828459289</v>
      </c>
      <c r="E10" s="99" t="s">
        <v>92</v>
      </c>
      <c r="F10" s="100">
        <v>4.63</v>
      </c>
      <c r="G10" s="99" t="str">
        <f t="shared" si="0"/>
        <v>4.63 m</v>
      </c>
      <c r="H10" s="99" t="s">
        <v>308</v>
      </c>
    </row>
    <row r="11" spans="1:8">
      <c r="A11" s="99" t="s">
        <v>115</v>
      </c>
      <c r="B11" s="99">
        <v>1</v>
      </c>
      <c r="C11" s="99" t="s">
        <v>3</v>
      </c>
      <c r="D11" s="100">
        <v>1</v>
      </c>
      <c r="E11" s="99"/>
      <c r="F11" s="100">
        <v>1</v>
      </c>
      <c r="G11" s="99" t="str">
        <f t="shared" si="0"/>
        <v xml:space="preserve">1 </v>
      </c>
      <c r="H11" s="99" t="s">
        <v>309</v>
      </c>
    </row>
    <row r="12" spans="1:8">
      <c r="A12" s="99" t="s">
        <v>116</v>
      </c>
      <c r="B12" s="99">
        <v>15.222352793040237</v>
      </c>
      <c r="C12" s="99" t="s">
        <v>5</v>
      </c>
      <c r="D12" s="100">
        <v>4.6397729828459289</v>
      </c>
      <c r="E12" s="99" t="s">
        <v>92</v>
      </c>
      <c r="F12" s="100">
        <v>4.63</v>
      </c>
      <c r="G12" s="99" t="str">
        <f t="shared" si="0"/>
        <v>4.63 m</v>
      </c>
      <c r="H12" s="99" t="s">
        <v>308</v>
      </c>
    </row>
    <row r="13" spans="1:8">
      <c r="A13" s="99" t="s">
        <v>117</v>
      </c>
      <c r="B13" s="99">
        <v>17.599999999999998</v>
      </c>
      <c r="C13" s="99" t="s">
        <v>3</v>
      </c>
      <c r="D13" s="100">
        <v>17.600000000000001</v>
      </c>
      <c r="E13" s="99"/>
      <c r="F13" s="100">
        <v>17.600000000000001</v>
      </c>
      <c r="G13" s="99" t="str">
        <f t="shared" si="0"/>
        <v xml:space="preserve">17.6 </v>
      </c>
      <c r="H13" s="99" t="s">
        <v>310</v>
      </c>
    </row>
    <row r="14" spans="1:8">
      <c r="A14" s="99" t="s">
        <v>120</v>
      </c>
      <c r="B14" s="99">
        <v>72.365125806715696</v>
      </c>
      <c r="C14" s="99" t="s">
        <v>5</v>
      </c>
      <c r="D14" s="100">
        <v>22.056889640066476</v>
      </c>
      <c r="E14" s="99" t="s">
        <v>92</v>
      </c>
      <c r="F14" s="100">
        <v>22.05</v>
      </c>
      <c r="G14" s="99" t="str">
        <f t="shared" si="0"/>
        <v>22.05 m</v>
      </c>
      <c r="H14" s="99" t="s">
        <v>311</v>
      </c>
    </row>
    <row r="15" spans="1:8">
      <c r="A15" s="99" t="s">
        <v>123</v>
      </c>
      <c r="B15" s="99">
        <v>337.73987419328432</v>
      </c>
      <c r="C15" s="99" t="s">
        <v>5</v>
      </c>
      <c r="D15" s="100">
        <v>102.94311035993353</v>
      </c>
      <c r="E15" s="99" t="s">
        <v>92</v>
      </c>
      <c r="F15" s="100">
        <v>102.94</v>
      </c>
      <c r="G15" s="99" t="str">
        <f t="shared" si="0"/>
        <v>102.94 m</v>
      </c>
      <c r="H15" s="99" t="s">
        <v>312</v>
      </c>
    </row>
    <row r="16" spans="1:8">
      <c r="A16" s="99" t="s">
        <v>125</v>
      </c>
      <c r="B16" s="99">
        <v>101.74459530189176</v>
      </c>
      <c r="C16" s="99" t="s">
        <v>87</v>
      </c>
      <c r="D16" s="100">
        <v>101.74459530189176</v>
      </c>
      <c r="E16" s="99"/>
      <c r="F16" s="100">
        <v>101.74</v>
      </c>
      <c r="G16" s="99" t="str">
        <f t="shared" si="0"/>
        <v xml:space="preserve">101.74 </v>
      </c>
      <c r="H16" s="99" t="s">
        <v>313</v>
      </c>
    </row>
    <row r="17" spans="1:8">
      <c r="A17" s="99" t="s">
        <v>128</v>
      </c>
      <c r="B17" s="99">
        <v>2</v>
      </c>
      <c r="C17" s="99" t="s">
        <v>3</v>
      </c>
      <c r="D17" s="100">
        <v>2</v>
      </c>
      <c r="E17" s="99"/>
      <c r="F17" s="100">
        <v>2</v>
      </c>
      <c r="G17" s="99" t="str">
        <f t="shared" si="0"/>
        <v xml:space="preserve">2 </v>
      </c>
      <c r="H17" s="99" t="s">
        <v>314</v>
      </c>
    </row>
    <row r="18" spans="1:8">
      <c r="A18" s="99" t="s">
        <v>129</v>
      </c>
      <c r="B18" s="99">
        <v>50.872297650945882</v>
      </c>
      <c r="C18" s="99" t="s">
        <v>87</v>
      </c>
      <c r="D18" s="100">
        <v>50.87</v>
      </c>
      <c r="E18" s="99" t="s">
        <v>87</v>
      </c>
      <c r="F18" s="100">
        <v>50.87</v>
      </c>
      <c r="G18" s="99" t="str">
        <f t="shared" si="0"/>
        <v>50.87 MW</v>
      </c>
      <c r="H18" s="99" t="s">
        <v>315</v>
      </c>
    </row>
    <row r="19" spans="1:8">
      <c r="A19" s="99" t="s">
        <v>130</v>
      </c>
      <c r="B19" s="99">
        <v>19.546776999999999</v>
      </c>
      <c r="C19" s="99" t="s">
        <v>84</v>
      </c>
      <c r="D19" s="100">
        <v>5.9578574389485617</v>
      </c>
      <c r="E19" s="99" t="s">
        <v>303</v>
      </c>
      <c r="F19" s="100">
        <v>5.95</v>
      </c>
      <c r="G19" s="99" t="str">
        <f t="shared" si="0"/>
        <v>5.95 m/s</v>
      </c>
      <c r="H19" s="99" t="s">
        <v>316</v>
      </c>
    </row>
    <row r="20" spans="1:8">
      <c r="A20" s="99" t="s">
        <v>131</v>
      </c>
      <c r="B20" s="99">
        <v>7.516</v>
      </c>
      <c r="C20" s="99" t="s">
        <v>84</v>
      </c>
      <c r="D20" s="100">
        <v>2.2908767266919448</v>
      </c>
      <c r="E20" s="99" t="s">
        <v>303</v>
      </c>
      <c r="F20" s="100">
        <v>2.29</v>
      </c>
      <c r="G20" s="99" t="str">
        <f t="shared" si="0"/>
        <v>2.29 m/s</v>
      </c>
      <c r="H20" s="99" t="s">
        <v>317</v>
      </c>
    </row>
    <row r="21" spans="1:8">
      <c r="A21" s="99" t="s">
        <v>132</v>
      </c>
      <c r="B21" s="99">
        <v>11.675974126480401</v>
      </c>
      <c r="C21" s="99" t="s">
        <v>5</v>
      </c>
      <c r="D21" s="100">
        <v>3.5588367998684487</v>
      </c>
      <c r="E21" s="99" t="s">
        <v>92</v>
      </c>
      <c r="F21" s="100">
        <v>3.55</v>
      </c>
      <c r="G21" s="99" t="str">
        <f t="shared" si="0"/>
        <v>3.55 m</v>
      </c>
      <c r="H21" s="99" t="s">
        <v>318</v>
      </c>
    </row>
    <row r="22" spans="1:8">
      <c r="A22" s="99" t="s">
        <v>133</v>
      </c>
      <c r="B22" s="99">
        <v>18.8294362446421</v>
      </c>
      <c r="C22" s="99" t="s">
        <v>5</v>
      </c>
      <c r="D22" s="100">
        <v>5.7392119837121287</v>
      </c>
      <c r="E22" s="99" t="s">
        <v>92</v>
      </c>
      <c r="F22" s="100">
        <v>5.73</v>
      </c>
      <c r="G22" s="99" t="str">
        <f t="shared" si="0"/>
        <v>5.73 m</v>
      </c>
      <c r="H22" s="99" t="s">
        <v>319</v>
      </c>
    </row>
    <row r="23" spans="1:8">
      <c r="A23" s="99" t="s">
        <v>89</v>
      </c>
      <c r="B23" s="99">
        <v>6</v>
      </c>
      <c r="C23" s="99" t="s">
        <v>134</v>
      </c>
      <c r="D23" s="100">
        <v>6</v>
      </c>
      <c r="E23" s="99" t="s">
        <v>304</v>
      </c>
      <c r="F23" s="100">
        <v>6</v>
      </c>
      <c r="G23" s="99" t="str">
        <f t="shared" si="0"/>
        <v>6 hr</v>
      </c>
      <c r="H23" s="99" t="s">
        <v>320</v>
      </c>
    </row>
    <row r="24" spans="1:8">
      <c r="D24" s="96"/>
    </row>
    <row r="25" spans="1:8">
      <c r="D25" s="96"/>
    </row>
    <row r="26" spans="1:8">
      <c r="D26" s="96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9535-38E2-40B6-8BBE-76B64B935D3D}">
  <sheetPr>
    <tabColor theme="8"/>
  </sheetPr>
  <dimension ref="A1:E27"/>
  <sheetViews>
    <sheetView workbookViewId="0">
      <selection activeCell="C18" sqref="C18"/>
    </sheetView>
  </sheetViews>
  <sheetFormatPr defaultRowHeight="18"/>
  <cols>
    <col min="1" max="1" width="13.58203125" bestFit="1" customWidth="1"/>
    <col min="2" max="2" width="13.08203125" bestFit="1" customWidth="1"/>
    <col min="4" max="4" width="17" bestFit="1" customWidth="1"/>
  </cols>
  <sheetData>
    <row r="1" spans="1:5">
      <c r="A1" s="101" t="s">
        <v>279</v>
      </c>
      <c r="B1" s="101" t="s">
        <v>326</v>
      </c>
    </row>
    <row r="3" spans="1:5">
      <c r="A3" t="s">
        <v>280</v>
      </c>
      <c r="B3" t="s">
        <v>281</v>
      </c>
      <c r="D3" t="s">
        <v>282</v>
      </c>
      <c r="E3">
        <f>AVERAGE($A$4:$A$27)</f>
        <v>9.6395833333333361</v>
      </c>
    </row>
    <row r="4" spans="1:5">
      <c r="A4">
        <v>10</v>
      </c>
      <c r="B4">
        <v>8.1999999999999993</v>
      </c>
      <c r="D4" t="s">
        <v>283</v>
      </c>
      <c r="E4">
        <f>AVERAGE(B4:B27)</f>
        <v>7.6541666666666659</v>
      </c>
    </row>
    <row r="5" spans="1:5">
      <c r="A5">
        <v>10.1</v>
      </c>
      <c r="B5">
        <v>8.3000000000000007</v>
      </c>
    </row>
    <row r="6" spans="1:5">
      <c r="A6">
        <v>10.199999999999999</v>
      </c>
      <c r="B6">
        <v>8.4</v>
      </c>
    </row>
    <row r="7" spans="1:5">
      <c r="A7">
        <v>12.3</v>
      </c>
      <c r="B7">
        <v>10.8</v>
      </c>
    </row>
    <row r="8" spans="1:5">
      <c r="A8">
        <v>13.2</v>
      </c>
      <c r="B8">
        <v>12</v>
      </c>
    </row>
    <row r="9" spans="1:5">
      <c r="A9">
        <v>6.3</v>
      </c>
      <c r="B9">
        <v>3</v>
      </c>
    </row>
    <row r="10" spans="1:5">
      <c r="A10">
        <v>6.2</v>
      </c>
      <c r="B10">
        <v>4.5999999999999996</v>
      </c>
    </row>
    <row r="11" spans="1:5">
      <c r="A11">
        <v>10.199999999999999</v>
      </c>
      <c r="B11">
        <v>8.4</v>
      </c>
    </row>
    <row r="12" spans="1:5">
      <c r="A12">
        <v>7</v>
      </c>
      <c r="B12">
        <v>5.5</v>
      </c>
    </row>
    <row r="13" spans="1:5">
      <c r="A13">
        <v>9.35</v>
      </c>
      <c r="B13">
        <v>8.4</v>
      </c>
    </row>
    <row r="14" spans="1:5">
      <c r="A14">
        <v>8.4</v>
      </c>
      <c r="B14">
        <v>4.2</v>
      </c>
    </row>
    <row r="15" spans="1:5">
      <c r="A15">
        <v>10.5</v>
      </c>
      <c r="B15">
        <v>8.5500000000000007</v>
      </c>
    </row>
    <row r="16" spans="1:5">
      <c r="A16">
        <v>12.6</v>
      </c>
      <c r="B16">
        <v>11.1</v>
      </c>
    </row>
    <row r="17" spans="1:2">
      <c r="A17">
        <v>13.5</v>
      </c>
      <c r="B17">
        <v>12.25</v>
      </c>
    </row>
    <row r="18" spans="1:2">
      <c r="A18">
        <v>6.4</v>
      </c>
      <c r="B18">
        <v>3.1</v>
      </c>
    </row>
    <row r="19" spans="1:2">
      <c r="A19">
        <v>6.3</v>
      </c>
      <c r="B19">
        <v>4.7</v>
      </c>
    </row>
    <row r="20" spans="1:2">
      <c r="A20">
        <v>10.5</v>
      </c>
      <c r="B20">
        <v>8.5</v>
      </c>
    </row>
    <row r="21" spans="1:2">
      <c r="A21">
        <v>7.15</v>
      </c>
      <c r="B21">
        <v>5.6</v>
      </c>
    </row>
    <row r="22" spans="1:2">
      <c r="A22">
        <v>9.65</v>
      </c>
      <c r="B22">
        <v>8.5</v>
      </c>
    </row>
    <row r="23" spans="1:2">
      <c r="A23">
        <v>8.8000000000000007</v>
      </c>
      <c r="B23">
        <v>4.4000000000000004</v>
      </c>
    </row>
    <row r="24" spans="1:2">
      <c r="A24">
        <v>11.3</v>
      </c>
      <c r="B24">
        <v>9.1</v>
      </c>
    </row>
    <row r="25" spans="1:2">
      <c r="A25">
        <v>14.4</v>
      </c>
      <c r="B25">
        <v>11.75</v>
      </c>
    </row>
    <row r="26" spans="1:2">
      <c r="A26">
        <v>7.25</v>
      </c>
      <c r="B26">
        <v>5.75</v>
      </c>
    </row>
    <row r="27" spans="1:2">
      <c r="A27">
        <v>9.75</v>
      </c>
      <c r="B27">
        <v>8.6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07BD-CC78-4868-83FD-85BAE2070E58}">
  <dimension ref="A1:N40"/>
  <sheetViews>
    <sheetView topLeftCell="E10" workbookViewId="0">
      <selection activeCell="I27" sqref="I27"/>
    </sheetView>
  </sheetViews>
  <sheetFormatPr defaultRowHeight="18"/>
  <cols>
    <col min="1" max="1" width="30.33203125" bestFit="1" customWidth="1"/>
    <col min="2" max="2" width="11.75" bestFit="1" customWidth="1"/>
    <col min="8" max="8" width="26.33203125" bestFit="1" customWidth="1"/>
    <col min="9" max="9" width="11.75" bestFit="1" customWidth="1"/>
  </cols>
  <sheetData>
    <row r="1" spans="1:14">
      <c r="A1" t="s">
        <v>59</v>
      </c>
    </row>
    <row r="2" spans="1:14">
      <c r="A2" t="s">
        <v>100</v>
      </c>
      <c r="B2">
        <v>1.3670171041120001</v>
      </c>
      <c r="C2" t="s">
        <v>23</v>
      </c>
    </row>
    <row r="3" spans="1:14">
      <c r="A3" t="s">
        <v>101</v>
      </c>
      <c r="B3">
        <v>13154.619973260818</v>
      </c>
      <c r="C3" t="s">
        <v>102</v>
      </c>
    </row>
    <row r="4" spans="1:14">
      <c r="A4" t="s">
        <v>103</v>
      </c>
      <c r="B4">
        <v>249245.43107231022</v>
      </c>
      <c r="C4" t="s">
        <v>102</v>
      </c>
    </row>
    <row r="5" spans="1:14">
      <c r="A5" t="s">
        <v>104</v>
      </c>
      <c r="B5">
        <v>18807154.652087849</v>
      </c>
      <c r="C5" t="s">
        <v>27</v>
      </c>
    </row>
    <row r="8" spans="1:14">
      <c r="H8" t="s">
        <v>105</v>
      </c>
      <c r="I8">
        <v>732788.95363181795</v>
      </c>
      <c r="J8" t="s">
        <v>27</v>
      </c>
      <c r="K8">
        <v>0.76455499999999998</v>
      </c>
      <c r="L8" t="s">
        <v>277</v>
      </c>
      <c r="M8">
        <f>I8*K8</f>
        <v>560257.45844397461</v>
      </c>
      <c r="N8" t="s">
        <v>277</v>
      </c>
    </row>
    <row r="9" spans="1:14">
      <c r="H9" t="s">
        <v>78</v>
      </c>
      <c r="I9">
        <v>1181.42698</v>
      </c>
      <c r="J9" t="s">
        <v>102</v>
      </c>
      <c r="K9">
        <v>1233.482</v>
      </c>
      <c r="L9" t="s">
        <v>277</v>
      </c>
      <c r="M9">
        <f>I9*K9</f>
        <v>1457268.91414436</v>
      </c>
      <c r="N9" t="s">
        <v>277</v>
      </c>
    </row>
    <row r="10" spans="1:14">
      <c r="A10" t="s">
        <v>110</v>
      </c>
      <c r="B10">
        <v>287.07349999999997</v>
      </c>
      <c r="C10" t="s">
        <v>5</v>
      </c>
      <c r="H10" t="s">
        <v>106</v>
      </c>
      <c r="I10">
        <v>2305.5092563518119</v>
      </c>
      <c r="J10" t="s">
        <v>107</v>
      </c>
    </row>
    <row r="11" spans="1:14">
      <c r="A11" t="s">
        <v>111</v>
      </c>
      <c r="B11">
        <v>348.58924999999999</v>
      </c>
      <c r="C11" t="s">
        <v>5</v>
      </c>
      <c r="H11" t="s">
        <v>108</v>
      </c>
      <c r="I11">
        <v>22549.159304965619</v>
      </c>
      <c r="J11" t="s">
        <v>109</v>
      </c>
      <c r="K11">
        <v>2.8316846999999999E-2</v>
      </c>
      <c r="L11" t="s">
        <v>278</v>
      </c>
      <c r="M11">
        <f>I11*K11</f>
        <v>638.52109401733776</v>
      </c>
      <c r="N11" t="s">
        <v>92</v>
      </c>
    </row>
    <row r="12" spans="1:14">
      <c r="A12" t="s">
        <v>112</v>
      </c>
      <c r="B12">
        <v>20463.028634229508</v>
      </c>
      <c r="C12" t="s">
        <v>109</v>
      </c>
      <c r="H12" t="s">
        <v>117</v>
      </c>
      <c r="I12">
        <v>20.705882352941178</v>
      </c>
    </row>
    <row r="13" spans="1:14">
      <c r="A13" t="s">
        <v>113</v>
      </c>
      <c r="B13">
        <v>24457.997257260013</v>
      </c>
      <c r="C13" t="s">
        <v>109</v>
      </c>
      <c r="H13" t="s">
        <v>124</v>
      </c>
      <c r="I13">
        <v>270.77225610552989</v>
      </c>
      <c r="J13" t="s">
        <v>5</v>
      </c>
      <c r="K13">
        <v>0.30480000000000002</v>
      </c>
      <c r="M13">
        <f>I13*K13</f>
        <v>82.531383660965517</v>
      </c>
      <c r="N13" t="s">
        <v>92</v>
      </c>
    </row>
    <row r="14" spans="1:14">
      <c r="A14" t="s">
        <v>114</v>
      </c>
      <c r="B14">
        <v>36.796082785941977</v>
      </c>
      <c r="C14" t="s">
        <v>5</v>
      </c>
      <c r="H14" t="s">
        <v>127</v>
      </c>
      <c r="I14">
        <v>493.44247473879238</v>
      </c>
      <c r="J14" t="s">
        <v>87</v>
      </c>
    </row>
    <row r="15" spans="1:14">
      <c r="A15" t="s">
        <v>115</v>
      </c>
      <c r="B15">
        <v>2</v>
      </c>
      <c r="C15" t="s">
        <v>3</v>
      </c>
      <c r="H15" t="s">
        <v>128</v>
      </c>
      <c r="I15">
        <v>2</v>
      </c>
      <c r="J15" t="s">
        <v>3</v>
      </c>
    </row>
    <row r="16" spans="1:14">
      <c r="A16" t="s">
        <v>116</v>
      </c>
      <c r="B16">
        <v>26.018759659041162</v>
      </c>
      <c r="C16" t="s">
        <v>5</v>
      </c>
      <c r="H16" t="s">
        <v>129</v>
      </c>
      <c r="I16">
        <v>246.72123736939619</v>
      </c>
      <c r="J16" t="s">
        <v>87</v>
      </c>
    </row>
    <row r="17" spans="1:9">
      <c r="C17" t="s">
        <v>3</v>
      </c>
    </row>
    <row r="18" spans="1:9">
      <c r="A18" t="s">
        <v>118</v>
      </c>
      <c r="B18" t="s">
        <v>43</v>
      </c>
      <c r="C18" t="s">
        <v>3</v>
      </c>
    </row>
    <row r="19" spans="1:9">
      <c r="A19" t="s">
        <v>119</v>
      </c>
      <c r="B19">
        <v>100.17719723847465</v>
      </c>
      <c r="C19" t="s">
        <v>5</v>
      </c>
      <c r="H19" t="s">
        <v>105</v>
      </c>
      <c r="I19">
        <v>560257.45844397461</v>
      </c>
    </row>
    <row r="20" spans="1:9">
      <c r="A20" t="s">
        <v>120</v>
      </c>
      <c r="B20">
        <v>119.88523421788199</v>
      </c>
      <c r="C20" t="s">
        <v>5</v>
      </c>
      <c r="H20" t="s">
        <v>78</v>
      </c>
      <c r="I20">
        <v>1457268.91414436</v>
      </c>
    </row>
    <row r="21" spans="1:9">
      <c r="A21" t="s">
        <v>121</v>
      </c>
      <c r="B21">
        <v>139.33274389447013</v>
      </c>
      <c r="C21" t="s">
        <v>5</v>
      </c>
      <c r="H21" t="s">
        <v>106</v>
      </c>
      <c r="I21">
        <v>2305.5092563518119</v>
      </c>
    </row>
    <row r="22" spans="1:9">
      <c r="A22" t="s">
        <v>122</v>
      </c>
      <c r="B22">
        <v>186.89630276152531</v>
      </c>
      <c r="C22" t="s">
        <v>5</v>
      </c>
      <c r="H22" t="s">
        <v>108</v>
      </c>
      <c r="I22">
        <v>638.52109401733776</v>
      </c>
    </row>
    <row r="23" spans="1:9">
      <c r="A23" t="s">
        <v>123</v>
      </c>
      <c r="B23">
        <v>228.70401578211801</v>
      </c>
      <c r="C23" t="s">
        <v>5</v>
      </c>
      <c r="H23" t="s">
        <v>117</v>
      </c>
      <c r="I23">
        <v>20.705882352941178</v>
      </c>
    </row>
    <row r="24" spans="1:9">
      <c r="H24" t="s">
        <v>124</v>
      </c>
      <c r="I24">
        <v>82.531383660965517</v>
      </c>
    </row>
    <row r="25" spans="1:9">
      <c r="A25" t="s">
        <v>125</v>
      </c>
      <c r="B25">
        <v>284.95881538470223</v>
      </c>
      <c r="C25" t="s">
        <v>87</v>
      </c>
      <c r="H25" t="s">
        <v>127</v>
      </c>
      <c r="I25">
        <v>493.44247473879238</v>
      </c>
    </row>
    <row r="26" spans="1:9">
      <c r="A26" t="s">
        <v>126</v>
      </c>
      <c r="B26">
        <v>384.25154272530199</v>
      </c>
      <c r="C26" t="s">
        <v>87</v>
      </c>
      <c r="H26" t="s">
        <v>128</v>
      </c>
      <c r="I26">
        <v>2</v>
      </c>
    </row>
    <row r="27" spans="1:9">
      <c r="H27" t="s">
        <v>129</v>
      </c>
      <c r="I27">
        <v>246.72123736939619</v>
      </c>
    </row>
    <row r="30" spans="1:9">
      <c r="A30" t="s">
        <v>130</v>
      </c>
      <c r="B30">
        <v>19.546776999999999</v>
      </c>
      <c r="C30" t="s">
        <v>84</v>
      </c>
    </row>
    <row r="31" spans="1:9">
      <c r="A31" t="s">
        <v>131</v>
      </c>
      <c r="B31">
        <v>8.0819448999999999</v>
      </c>
      <c r="C31" t="s">
        <v>84</v>
      </c>
    </row>
    <row r="32" spans="1:9">
      <c r="A32" t="s">
        <v>132</v>
      </c>
      <c r="B32">
        <v>28.223633784188685</v>
      </c>
      <c r="C32" t="s">
        <v>5</v>
      </c>
    </row>
    <row r="33" spans="1:3">
      <c r="A33" t="s">
        <v>133</v>
      </c>
      <c r="B33">
        <v>43.892727100008273</v>
      </c>
      <c r="C33" t="s">
        <v>5</v>
      </c>
    </row>
    <row r="34" spans="1:3">
      <c r="A34" t="s">
        <v>89</v>
      </c>
      <c r="B34">
        <v>7.1999999999999993</v>
      </c>
      <c r="C34" t="s">
        <v>134</v>
      </c>
    </row>
    <row r="35" spans="1:3">
      <c r="A35" t="s">
        <v>135</v>
      </c>
      <c r="B35">
        <v>18790.966087471352</v>
      </c>
      <c r="C35" t="s">
        <v>109</v>
      </c>
    </row>
    <row r="36" spans="1:3">
      <c r="A36" t="s">
        <v>136</v>
      </c>
      <c r="B36">
        <v>85.561894264334086</v>
      </c>
      <c r="C36" t="s">
        <v>5</v>
      </c>
    </row>
    <row r="37" spans="1:3">
      <c r="A37" t="s">
        <v>137</v>
      </c>
      <c r="B37">
        <v>434.15114426433411</v>
      </c>
      <c r="C37" t="s">
        <v>5</v>
      </c>
    </row>
    <row r="38" spans="1:3">
      <c r="A38" t="s">
        <v>138</v>
      </c>
      <c r="B38">
        <v>607.85715541922298</v>
      </c>
      <c r="C38" t="s">
        <v>87</v>
      </c>
    </row>
    <row r="39" spans="1:3">
      <c r="A39" t="s">
        <v>139</v>
      </c>
      <c r="B39">
        <v>1.75</v>
      </c>
      <c r="C39" t="s">
        <v>3</v>
      </c>
    </row>
    <row r="40" spans="1:3">
      <c r="A40" t="s">
        <v>140</v>
      </c>
      <c r="B40">
        <v>1.6004696290247125</v>
      </c>
      <c r="C40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4C9F-BFC7-4A43-805A-9610815F9FB9}">
  <sheetPr>
    <tabColor theme="9" tint="0.79998168889431442"/>
  </sheetPr>
  <dimension ref="A1:A63"/>
  <sheetViews>
    <sheetView workbookViewId="0">
      <selection sqref="A1:A1048576"/>
    </sheetView>
  </sheetViews>
  <sheetFormatPr defaultRowHeight="18"/>
  <cols>
    <col min="1" max="1" width="30.25" bestFit="1" customWidth="1"/>
  </cols>
  <sheetData>
    <row r="1" spans="1:1">
      <c r="A1">
        <v>1</v>
      </c>
    </row>
    <row r="2" spans="1:1">
      <c r="A2" t="s">
        <v>175</v>
      </c>
    </row>
    <row r="3" spans="1:1">
      <c r="A3" s="27">
        <v>53364852</v>
      </c>
    </row>
    <row r="4" spans="1:1">
      <c r="A4">
        <v>1.1000000000000001</v>
      </c>
    </row>
    <row r="5" spans="1:1">
      <c r="A5" t="s">
        <v>176</v>
      </c>
    </row>
    <row r="6" spans="1:1">
      <c r="A6" s="27">
        <v>45628209</v>
      </c>
    </row>
    <row r="7" spans="1:1">
      <c r="A7">
        <v>1.2</v>
      </c>
    </row>
    <row r="8" spans="1:1">
      <c r="A8" t="s">
        <v>177</v>
      </c>
    </row>
    <row r="9" spans="1:1">
      <c r="A9" s="27">
        <v>7736643</v>
      </c>
    </row>
    <row r="10" spans="1:1">
      <c r="A10">
        <v>2</v>
      </c>
    </row>
    <row r="11" spans="1:1">
      <c r="A11" t="s">
        <v>178</v>
      </c>
    </row>
    <row r="12" spans="1:1">
      <c r="A12" s="27">
        <v>53364852</v>
      </c>
    </row>
    <row r="13" spans="1:1">
      <c r="A13">
        <v>2.1</v>
      </c>
    </row>
    <row r="14" spans="1:1">
      <c r="A14" t="s">
        <v>176</v>
      </c>
    </row>
    <row r="15" spans="1:1">
      <c r="A15" s="27">
        <v>45628209</v>
      </c>
    </row>
    <row r="16" spans="1:1">
      <c r="A16">
        <v>2.2000000000000002</v>
      </c>
    </row>
    <row r="17" spans="1:1">
      <c r="A17" t="s">
        <v>177</v>
      </c>
    </row>
    <row r="18" spans="1:1">
      <c r="A18" s="27">
        <v>7736643</v>
      </c>
    </row>
    <row r="19" spans="1:1">
      <c r="A19">
        <v>3</v>
      </c>
    </row>
    <row r="20" spans="1:1">
      <c r="A20" t="s">
        <v>179</v>
      </c>
    </row>
    <row r="21" spans="1:1">
      <c r="A21" s="27">
        <v>16137431</v>
      </c>
    </row>
    <row r="22" spans="1:1">
      <c r="A22">
        <v>4</v>
      </c>
    </row>
    <row r="23" spans="1:1">
      <c r="A23" t="s">
        <v>180</v>
      </c>
    </row>
    <row r="24" spans="1:1">
      <c r="A24" s="27">
        <v>47636431</v>
      </c>
    </row>
    <row r="25" spans="1:1">
      <c r="A25">
        <v>5</v>
      </c>
    </row>
    <row r="26" spans="1:1">
      <c r="A26" t="s">
        <v>181</v>
      </c>
    </row>
    <row r="27" spans="1:1">
      <c r="A27" s="27">
        <v>137313041</v>
      </c>
    </row>
    <row r="28" spans="1:1">
      <c r="A28">
        <v>6</v>
      </c>
    </row>
    <row r="29" spans="1:1">
      <c r="A29" t="s">
        <v>182</v>
      </c>
    </row>
    <row r="30" spans="1:1">
      <c r="A30" s="27">
        <v>34328260</v>
      </c>
    </row>
    <row r="31" spans="1:1">
      <c r="A31">
        <v>7</v>
      </c>
    </row>
    <row r="32" spans="1:1">
      <c r="A32" t="s">
        <v>183</v>
      </c>
    </row>
    <row r="33" spans="1:1">
      <c r="A33" s="27">
        <v>24000000</v>
      </c>
    </row>
    <row r="34" spans="1:1">
      <c r="A34">
        <v>8</v>
      </c>
    </row>
    <row r="35" spans="1:1">
      <c r="A35" t="s">
        <v>184</v>
      </c>
    </row>
    <row r="36" spans="1:1">
      <c r="A36" s="27">
        <v>2000000</v>
      </c>
    </row>
    <row r="37" spans="1:1">
      <c r="A37">
        <v>9</v>
      </c>
    </row>
    <row r="38" spans="1:1">
      <c r="A38" t="s">
        <v>185</v>
      </c>
    </row>
    <row r="39" spans="1:1">
      <c r="A39" s="27">
        <v>16000000</v>
      </c>
    </row>
    <row r="40" spans="1:1">
      <c r="A40">
        <v>10</v>
      </c>
    </row>
    <row r="41" spans="1:1">
      <c r="A41" t="s">
        <v>186</v>
      </c>
    </row>
    <row r="42" spans="1:1">
      <c r="A42" s="27">
        <v>8082897</v>
      </c>
    </row>
    <row r="43" spans="1:1">
      <c r="A43">
        <v>11</v>
      </c>
    </row>
    <row r="44" spans="1:1">
      <c r="A44" t="s">
        <v>187</v>
      </c>
    </row>
    <row r="45" spans="1:1">
      <c r="A45" s="27">
        <v>412227764</v>
      </c>
    </row>
    <row r="46" spans="1:1">
      <c r="A46">
        <v>12</v>
      </c>
    </row>
    <row r="47" spans="1:1">
      <c r="A47" t="s">
        <v>188</v>
      </c>
    </row>
    <row r="48" spans="1:1">
      <c r="A48" s="27">
        <v>267948046</v>
      </c>
    </row>
    <row r="49" spans="1:1">
      <c r="A49">
        <v>12.1</v>
      </c>
    </row>
    <row r="50" spans="1:1">
      <c r="A50" t="s">
        <v>189</v>
      </c>
    </row>
    <row r="51" spans="1:1">
      <c r="A51" s="27">
        <v>82445553</v>
      </c>
    </row>
    <row r="52" spans="1:1">
      <c r="A52">
        <v>12.2</v>
      </c>
    </row>
    <row r="53" spans="1:1">
      <c r="A53" t="s">
        <v>190</v>
      </c>
    </row>
    <row r="54" spans="1:1">
      <c r="A54" s="27">
        <v>41222776</v>
      </c>
    </row>
    <row r="55" spans="1:1">
      <c r="A55">
        <v>12.3</v>
      </c>
    </row>
    <row r="56" spans="1:1">
      <c r="A56" t="s">
        <v>191</v>
      </c>
    </row>
    <row r="57" spans="1:1">
      <c r="A57" s="27">
        <v>20611388</v>
      </c>
    </row>
    <row r="58" spans="1:1">
      <c r="A58">
        <v>12.4</v>
      </c>
    </row>
    <row r="59" spans="1:1">
      <c r="A59" t="s">
        <v>192</v>
      </c>
    </row>
    <row r="60" spans="1:1">
      <c r="A60" s="27">
        <v>123668329</v>
      </c>
    </row>
    <row r="61" spans="1:1">
      <c r="A61">
        <v>13</v>
      </c>
    </row>
    <row r="62" spans="1:1">
      <c r="A62" t="s">
        <v>193</v>
      </c>
    </row>
    <row r="63" spans="1:1">
      <c r="A63" s="27">
        <v>680175810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89F6-9063-45A5-BAD3-32D58BDF19E7}">
  <sheetPr>
    <tabColor theme="9" tint="0.79998168889431442"/>
  </sheetPr>
  <dimension ref="A1:C21"/>
  <sheetViews>
    <sheetView workbookViewId="0">
      <selection activeCell="A8" sqref="A1:XFD1048576"/>
    </sheetView>
  </sheetViews>
  <sheetFormatPr defaultRowHeight="18"/>
  <cols>
    <col min="1" max="1" width="5.9140625" bestFit="1" customWidth="1"/>
    <col min="2" max="2" width="22.75" customWidth="1"/>
    <col min="3" max="3" width="7.9140625" bestFit="1" customWidth="1"/>
  </cols>
  <sheetData>
    <row r="1" spans="1:3" ht="18.600000000000001" thickBot="1">
      <c r="A1" s="36"/>
      <c r="B1" s="37"/>
      <c r="C1" s="38"/>
    </row>
    <row r="2" spans="1:3">
      <c r="A2" s="28" t="s">
        <v>194</v>
      </c>
      <c r="B2" s="105" t="s">
        <v>196</v>
      </c>
      <c r="C2" s="105" t="s">
        <v>197</v>
      </c>
    </row>
    <row r="3" spans="1:3" ht="18.600000000000001" thickBot="1">
      <c r="A3" s="29" t="s">
        <v>195</v>
      </c>
      <c r="B3" s="106"/>
      <c r="C3" s="106"/>
    </row>
    <row r="4" spans="1:3" ht="18.600000000000001" thickBot="1">
      <c r="A4" s="30"/>
      <c r="B4" s="30" t="s">
        <v>216</v>
      </c>
      <c r="C4" s="39" t="s">
        <v>217</v>
      </c>
    </row>
    <row r="5" spans="1:3">
      <c r="A5" s="28">
        <v>1</v>
      </c>
      <c r="B5" s="28" t="s">
        <v>199</v>
      </c>
      <c r="C5" s="28">
        <v>125</v>
      </c>
    </row>
    <row r="6" spans="1:3">
      <c r="A6" s="31">
        <v>2</v>
      </c>
      <c r="B6" s="31" t="s">
        <v>200</v>
      </c>
      <c r="C6" s="32">
        <v>2200</v>
      </c>
    </row>
    <row r="7" spans="1:3" ht="18.600000000000001" thickBot="1">
      <c r="A7" s="29">
        <v>3</v>
      </c>
      <c r="B7" s="29" t="s">
        <v>201</v>
      </c>
      <c r="C7" s="29">
        <v>3.57</v>
      </c>
    </row>
    <row r="8" spans="1:3" ht="18.600000000000001" thickBot="1">
      <c r="A8" s="30">
        <v>4</v>
      </c>
      <c r="B8" s="30" t="s">
        <v>202</v>
      </c>
      <c r="C8" s="30">
        <v>6</v>
      </c>
    </row>
    <row r="9" spans="1:3" ht="18.600000000000001" thickBot="1">
      <c r="A9" s="30">
        <v>5</v>
      </c>
      <c r="B9" s="30" t="s">
        <v>203</v>
      </c>
      <c r="C9" s="30">
        <v>5</v>
      </c>
    </row>
    <row r="10" spans="1:3" ht="18.600000000000001" thickBot="1">
      <c r="A10" s="107" t="s">
        <v>204</v>
      </c>
      <c r="B10" s="108"/>
      <c r="C10" s="109"/>
    </row>
    <row r="11" spans="1:3" ht="18.600000000000001" thickBot="1">
      <c r="A11" s="30">
        <v>5</v>
      </c>
      <c r="B11" s="30" t="s">
        <v>205</v>
      </c>
      <c r="C11" s="30"/>
    </row>
    <row r="12" spans="1:3" ht="18.600000000000001" thickBot="1">
      <c r="A12" s="30">
        <v>6</v>
      </c>
      <c r="B12" s="30" t="s">
        <v>206</v>
      </c>
      <c r="C12" s="30"/>
    </row>
    <row r="13" spans="1:3">
      <c r="A13" s="28">
        <v>7</v>
      </c>
      <c r="B13" s="28" t="s">
        <v>207</v>
      </c>
      <c r="C13" s="33">
        <v>0.94</v>
      </c>
    </row>
    <row r="14" spans="1:3" ht="35.4" thickBot="1">
      <c r="A14" s="29">
        <v>8</v>
      </c>
      <c r="B14" s="29" t="s">
        <v>208</v>
      </c>
      <c r="C14" s="34">
        <v>0.98</v>
      </c>
    </row>
    <row r="15" spans="1:3" ht="18.600000000000001" thickBot="1">
      <c r="A15" s="30">
        <v>9</v>
      </c>
      <c r="B15" s="30" t="s">
        <v>209</v>
      </c>
      <c r="C15" s="30">
        <v>100</v>
      </c>
    </row>
    <row r="16" spans="1:3" ht="18.600000000000001" thickBot="1">
      <c r="A16" s="30">
        <v>10</v>
      </c>
      <c r="B16" s="30" t="s">
        <v>210</v>
      </c>
      <c r="C16" s="35">
        <v>4518</v>
      </c>
    </row>
    <row r="17" spans="1:3" ht="18.600000000000001" thickBot="1">
      <c r="A17" s="30">
        <v>11</v>
      </c>
      <c r="B17" s="30" t="s">
        <v>211</v>
      </c>
      <c r="C17" s="35">
        <v>1942</v>
      </c>
    </row>
    <row r="18" spans="1:3" ht="35.4" thickBot="1">
      <c r="A18" s="30">
        <v>12</v>
      </c>
      <c r="B18" s="30" t="s">
        <v>212</v>
      </c>
      <c r="C18" s="35">
        <v>912564</v>
      </c>
    </row>
    <row r="19" spans="1:3" ht="35.4" thickBot="1">
      <c r="A19" s="30">
        <v>13</v>
      </c>
      <c r="B19" s="30" t="s">
        <v>213</v>
      </c>
      <c r="C19" s="35">
        <v>386832</v>
      </c>
    </row>
    <row r="20" spans="1:3" ht="18.600000000000001" thickBot="1">
      <c r="A20" s="30">
        <v>14</v>
      </c>
      <c r="B20" s="30" t="s">
        <v>214</v>
      </c>
      <c r="C20" s="30">
        <v>5.8</v>
      </c>
    </row>
    <row r="21" spans="1:3" ht="18.600000000000001" thickBot="1">
      <c r="A21" s="30">
        <v>15</v>
      </c>
      <c r="B21" s="30" t="s">
        <v>215</v>
      </c>
      <c r="C21" s="30">
        <v>4</v>
      </c>
    </row>
  </sheetData>
  <mergeCells count="3">
    <mergeCell ref="B2:B3"/>
    <mergeCell ref="C2:C3"/>
    <mergeCell ref="A10:C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D7D8-DCDE-4073-BBB0-1CDA5B7DB95C}">
  <sheetPr>
    <tabColor theme="9" tint="0.79998168889431442"/>
  </sheetPr>
  <dimension ref="A1:C22"/>
  <sheetViews>
    <sheetView workbookViewId="0">
      <selection activeCell="E12" sqref="E12"/>
    </sheetView>
  </sheetViews>
  <sheetFormatPr defaultRowHeight="18"/>
  <cols>
    <col min="2" max="2" width="21.33203125" customWidth="1"/>
  </cols>
  <sheetData>
    <row r="1" spans="1:3" ht="18.600000000000001" thickBot="1"/>
    <row r="2" spans="1:3" ht="18.600000000000001" thickBot="1">
      <c r="A2" s="36"/>
      <c r="B2" s="37"/>
      <c r="C2" s="38"/>
    </row>
    <row r="3" spans="1:3" ht="18.600000000000001" thickBot="1">
      <c r="A3" s="30" t="s">
        <v>194</v>
      </c>
      <c r="B3" s="30"/>
      <c r="C3" s="39"/>
    </row>
    <row r="4" spans="1:3">
      <c r="A4" s="105" t="s">
        <v>195</v>
      </c>
      <c r="B4" s="28" t="s">
        <v>196</v>
      </c>
      <c r="C4" s="105" t="s">
        <v>197</v>
      </c>
    </row>
    <row r="5" spans="1:3" ht="18.600000000000001" thickBot="1">
      <c r="A5" s="106"/>
      <c r="B5" s="29" t="s">
        <v>198</v>
      </c>
      <c r="C5" s="106"/>
    </row>
    <row r="6" spans="1:3" ht="18.600000000000001" thickBot="1">
      <c r="A6" s="30">
        <v>1</v>
      </c>
      <c r="B6" s="30" t="s">
        <v>199</v>
      </c>
      <c r="C6" s="30">
        <v>400</v>
      </c>
    </row>
    <row r="7" spans="1:3">
      <c r="A7" s="28">
        <v>2</v>
      </c>
      <c r="B7" s="28" t="s">
        <v>200</v>
      </c>
      <c r="C7" s="40">
        <v>1500</v>
      </c>
    </row>
    <row r="8" spans="1:3" ht="18.600000000000001" thickBot="1">
      <c r="A8" s="29">
        <v>3</v>
      </c>
      <c r="B8" s="29" t="s">
        <v>201</v>
      </c>
      <c r="C8" s="29">
        <v>4.5</v>
      </c>
    </row>
    <row r="9" spans="1:3" ht="18.600000000000001" thickBot="1">
      <c r="A9" s="30">
        <v>4</v>
      </c>
      <c r="B9" s="30" t="s">
        <v>202</v>
      </c>
      <c r="C9" s="30">
        <v>12</v>
      </c>
    </row>
    <row r="10" spans="1:3" ht="35.4" thickBot="1">
      <c r="A10" s="30">
        <v>5</v>
      </c>
      <c r="B10" s="30" t="s">
        <v>203</v>
      </c>
      <c r="C10" s="30">
        <v>20</v>
      </c>
    </row>
    <row r="11" spans="1:3" ht="18.600000000000001" thickBot="1">
      <c r="A11" s="30"/>
      <c r="B11" s="30" t="s">
        <v>204</v>
      </c>
      <c r="C11" s="39"/>
    </row>
    <row r="12" spans="1:3" ht="18.600000000000001" thickBot="1">
      <c r="A12" s="30">
        <v>5</v>
      </c>
      <c r="B12" s="30" t="s">
        <v>205</v>
      </c>
      <c r="C12" s="30">
        <v>3.8</v>
      </c>
    </row>
    <row r="13" spans="1:3" ht="18.600000000000001" thickBot="1">
      <c r="A13" s="30">
        <v>6</v>
      </c>
      <c r="B13" s="30" t="s">
        <v>206</v>
      </c>
      <c r="C13" s="30">
        <v>104</v>
      </c>
    </row>
    <row r="14" spans="1:3" ht="35.4" thickBot="1">
      <c r="A14" s="30">
        <v>7</v>
      </c>
      <c r="B14" s="30" t="s">
        <v>207</v>
      </c>
      <c r="C14" s="41">
        <v>0.94</v>
      </c>
    </row>
    <row r="15" spans="1:3" ht="35.4" thickBot="1">
      <c r="A15" s="30">
        <v>8</v>
      </c>
      <c r="B15" s="30" t="s">
        <v>208</v>
      </c>
      <c r="C15" s="41">
        <v>0.98</v>
      </c>
    </row>
    <row r="16" spans="1:3" ht="18.600000000000001" thickBot="1">
      <c r="A16" s="30">
        <v>9</v>
      </c>
      <c r="B16" s="30" t="s">
        <v>209</v>
      </c>
      <c r="C16" s="30">
        <v>377</v>
      </c>
    </row>
    <row r="17" spans="1:3" ht="35.4" thickBot="1">
      <c r="A17" s="30">
        <v>10</v>
      </c>
      <c r="B17" s="30" t="s">
        <v>210</v>
      </c>
      <c r="C17" s="35">
        <v>4518</v>
      </c>
    </row>
    <row r="18" spans="1:3" ht="18.600000000000001" thickBot="1">
      <c r="A18" s="30">
        <v>11</v>
      </c>
      <c r="B18" s="30" t="s">
        <v>211</v>
      </c>
      <c r="C18" s="35">
        <v>1942</v>
      </c>
    </row>
    <row r="19" spans="1:3" ht="35.4" thickBot="1">
      <c r="A19" s="30">
        <v>12</v>
      </c>
      <c r="B19" s="30" t="s">
        <v>212</v>
      </c>
      <c r="C19" s="35">
        <v>912564</v>
      </c>
    </row>
    <row r="20" spans="1:3" ht="35.4" thickBot="1">
      <c r="A20" s="30">
        <v>13</v>
      </c>
      <c r="B20" s="30" t="s">
        <v>213</v>
      </c>
      <c r="C20" s="35">
        <v>386832</v>
      </c>
    </row>
    <row r="21" spans="1:3">
      <c r="A21" s="28">
        <v>14</v>
      </c>
      <c r="B21" s="28" t="s">
        <v>214</v>
      </c>
      <c r="C21" s="28">
        <v>5.8</v>
      </c>
    </row>
    <row r="22" spans="1:3" ht="35.4" thickBot="1">
      <c r="A22" s="29">
        <v>15</v>
      </c>
      <c r="B22" s="29" t="s">
        <v>215</v>
      </c>
      <c r="C22" s="29">
        <v>4</v>
      </c>
    </row>
  </sheetData>
  <mergeCells count="2">
    <mergeCell ref="A4:A5"/>
    <mergeCell ref="C4:C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D356-3D30-40FA-A1AF-EB1F3106F8EC}">
  <sheetPr>
    <tabColor theme="9" tint="0.79998168889431442"/>
  </sheetPr>
  <dimension ref="A1:E35"/>
  <sheetViews>
    <sheetView topLeftCell="A18" workbookViewId="0">
      <selection activeCell="B27" sqref="B27"/>
    </sheetView>
  </sheetViews>
  <sheetFormatPr defaultRowHeight="18"/>
  <cols>
    <col min="1" max="1" width="33.33203125" customWidth="1"/>
    <col min="2" max="2" width="13.33203125" bestFit="1" customWidth="1"/>
    <col min="3" max="3" width="17.58203125" bestFit="1" customWidth="1"/>
    <col min="4" max="4" width="9.5" bestFit="1" customWidth="1"/>
    <col min="5" max="5" width="15.5" bestFit="1" customWidth="1"/>
  </cols>
  <sheetData>
    <row r="1" spans="1:5">
      <c r="A1" t="s">
        <v>230</v>
      </c>
      <c r="B1">
        <v>337</v>
      </c>
    </row>
    <row r="2" spans="1:5">
      <c r="A2" t="s">
        <v>225</v>
      </c>
      <c r="B2">
        <v>251.23</v>
      </c>
      <c r="C2" s="52" t="s">
        <v>227</v>
      </c>
    </row>
    <row r="3" spans="1:5">
      <c r="A3" t="s">
        <v>226</v>
      </c>
      <c r="B3">
        <v>323.976</v>
      </c>
      <c r="C3" s="52" t="s">
        <v>227</v>
      </c>
    </row>
    <row r="4" spans="1:5">
      <c r="C4" s="52"/>
    </row>
    <row r="5" spans="1:5">
      <c r="A5" t="s">
        <v>231</v>
      </c>
      <c r="B5">
        <v>100</v>
      </c>
      <c r="C5" s="52"/>
    </row>
    <row r="7" spans="1:5">
      <c r="A7" s="51" t="s">
        <v>218</v>
      </c>
    </row>
    <row r="8" spans="1:5" ht="34.799999999999997">
      <c r="A8" s="44" t="s">
        <v>219</v>
      </c>
      <c r="B8" s="44" t="s">
        <v>224</v>
      </c>
      <c r="C8" s="44" t="s">
        <v>228</v>
      </c>
      <c r="D8" s="44" t="s">
        <v>229</v>
      </c>
      <c r="E8" s="44" t="s">
        <v>232</v>
      </c>
    </row>
    <row r="9" spans="1:5">
      <c r="A9" s="45" t="s">
        <v>175</v>
      </c>
      <c r="B9" s="46">
        <v>53364852</v>
      </c>
      <c r="C9" s="46">
        <f>($B$3/$B$2)*B9</f>
        <v>68817144.813724473</v>
      </c>
      <c r="D9" s="58">
        <f>C9/$B$1*1/1000</f>
        <v>204.20517748879664</v>
      </c>
      <c r="E9" s="46">
        <f>D9*$B$5*1000</f>
        <v>20420517.748879664</v>
      </c>
    </row>
    <row r="10" spans="1:5">
      <c r="A10" s="47" t="s">
        <v>176</v>
      </c>
      <c r="B10" s="48">
        <v>45628209</v>
      </c>
      <c r="C10" s="53">
        <f t="shared" ref="C10:C29" si="0">($B$3/$B$2)*B10</f>
        <v>58840284.356900051</v>
      </c>
      <c r="D10" s="59">
        <f t="shared" ref="D10:D29" si="1">C10/$B$1*1/1000</f>
        <v>174.60025031721082</v>
      </c>
      <c r="E10" s="56">
        <f t="shared" ref="E10:E29" si="2">D10*$B$5*1000</f>
        <v>17460025.031721082</v>
      </c>
    </row>
    <row r="11" spans="1:5">
      <c r="A11" s="47" t="s">
        <v>177</v>
      </c>
      <c r="B11" s="48">
        <v>7736643</v>
      </c>
      <c r="C11" s="53">
        <f t="shared" si="0"/>
        <v>9976860.4568244237</v>
      </c>
      <c r="D11" s="59">
        <f t="shared" si="1"/>
        <v>29.604927171585828</v>
      </c>
      <c r="E11" s="56">
        <f t="shared" si="2"/>
        <v>2960492.717158583</v>
      </c>
    </row>
    <row r="12" spans="1:5">
      <c r="A12" s="45" t="s">
        <v>178</v>
      </c>
      <c r="B12" s="46">
        <v>53364852</v>
      </c>
      <c r="C12" s="54">
        <f t="shared" si="0"/>
        <v>68817144.813724473</v>
      </c>
      <c r="D12" s="58">
        <f t="shared" si="1"/>
        <v>204.20517748879664</v>
      </c>
      <c r="E12" s="46">
        <f t="shared" si="2"/>
        <v>20420517.748879664</v>
      </c>
    </row>
    <row r="13" spans="1:5">
      <c r="A13" s="49" t="s">
        <v>176</v>
      </c>
      <c r="B13" s="48">
        <v>45628209</v>
      </c>
      <c r="C13" s="53">
        <f t="shared" si="0"/>
        <v>58840284.356900051</v>
      </c>
      <c r="D13" s="59">
        <f t="shared" si="1"/>
        <v>174.60025031721082</v>
      </c>
      <c r="E13" s="56">
        <f t="shared" si="2"/>
        <v>17460025.031721082</v>
      </c>
    </row>
    <row r="14" spans="1:5">
      <c r="A14" s="47" t="s">
        <v>177</v>
      </c>
      <c r="B14" s="48">
        <v>7736643</v>
      </c>
      <c r="C14" s="53">
        <f t="shared" si="0"/>
        <v>9976860.4568244237</v>
      </c>
      <c r="D14" s="59">
        <f t="shared" si="1"/>
        <v>29.604927171585828</v>
      </c>
      <c r="E14" s="56">
        <f t="shared" si="2"/>
        <v>2960492.717158583</v>
      </c>
    </row>
    <row r="15" spans="1:5">
      <c r="A15" s="45" t="s">
        <v>179</v>
      </c>
      <c r="B15" s="46">
        <v>16137431</v>
      </c>
      <c r="C15" s="54">
        <f t="shared" si="0"/>
        <v>20810175.320049357</v>
      </c>
      <c r="D15" s="58">
        <f t="shared" si="1"/>
        <v>61.751262077297795</v>
      </c>
      <c r="E15" s="46">
        <f t="shared" si="2"/>
        <v>6175126.2077297801</v>
      </c>
    </row>
    <row r="16" spans="1:5">
      <c r="A16" s="45" t="s">
        <v>180</v>
      </c>
      <c r="B16" s="46">
        <v>47636431</v>
      </c>
      <c r="C16" s="54">
        <f t="shared" si="0"/>
        <v>61430005.849842772</v>
      </c>
      <c r="D16" s="58">
        <f t="shared" si="1"/>
        <v>182.28488382742663</v>
      </c>
      <c r="E16" s="46">
        <f t="shared" si="2"/>
        <v>18228488.382742662</v>
      </c>
    </row>
    <row r="17" spans="1:5">
      <c r="A17" s="45" t="s">
        <v>181</v>
      </c>
      <c r="B17" s="46">
        <v>137313041</v>
      </c>
      <c r="C17" s="54">
        <f t="shared" si="0"/>
        <v>177073318.35774389</v>
      </c>
      <c r="D17" s="58">
        <f t="shared" si="1"/>
        <v>525.44011382119845</v>
      </c>
      <c r="E17" s="46">
        <f t="shared" si="2"/>
        <v>52544011.382119849</v>
      </c>
    </row>
    <row r="18" spans="1:5">
      <c r="A18" s="45" t="s">
        <v>182</v>
      </c>
      <c r="B18" s="46">
        <v>34328260</v>
      </c>
      <c r="C18" s="54">
        <f t="shared" si="0"/>
        <v>44268329.267046131</v>
      </c>
      <c r="D18" s="58">
        <f t="shared" si="1"/>
        <v>131.36002749865321</v>
      </c>
      <c r="E18" s="46">
        <f t="shared" si="2"/>
        <v>13136002.749865321</v>
      </c>
    </row>
    <row r="19" spans="1:5">
      <c r="A19" s="45" t="s">
        <v>183</v>
      </c>
      <c r="B19" s="46">
        <v>24000000</v>
      </c>
      <c r="C19" s="54">
        <f t="shared" si="0"/>
        <v>30949424.829837199</v>
      </c>
      <c r="D19" s="58">
        <f t="shared" si="1"/>
        <v>91.838055874887829</v>
      </c>
      <c r="E19" s="46">
        <f t="shared" si="2"/>
        <v>9183805.5874887835</v>
      </c>
    </row>
    <row r="20" spans="1:5">
      <c r="A20" s="45" t="s">
        <v>184</v>
      </c>
      <c r="B20" s="46">
        <v>2000000</v>
      </c>
      <c r="C20" s="54">
        <f t="shared" si="0"/>
        <v>2579118.7358197668</v>
      </c>
      <c r="D20" s="58">
        <f t="shared" si="1"/>
        <v>7.6531713229073191</v>
      </c>
      <c r="E20" s="46">
        <f t="shared" si="2"/>
        <v>765317.13229073188</v>
      </c>
    </row>
    <row r="21" spans="1:5">
      <c r="A21" s="45" t="s">
        <v>185</v>
      </c>
      <c r="B21" s="46">
        <v>16000000</v>
      </c>
      <c r="C21" s="54">
        <f t="shared" si="0"/>
        <v>20632949.886558134</v>
      </c>
      <c r="D21" s="58">
        <f t="shared" si="1"/>
        <v>61.225370583258552</v>
      </c>
      <c r="E21" s="46">
        <f t="shared" si="2"/>
        <v>6122537.0583258551</v>
      </c>
    </row>
    <row r="22" spans="1:5">
      <c r="A22" s="45" t="s">
        <v>186</v>
      </c>
      <c r="B22" s="46">
        <v>8082897</v>
      </c>
      <c r="C22" s="54">
        <f t="shared" si="0"/>
        <v>10423375.546200693</v>
      </c>
      <c r="D22" s="58">
        <f t="shared" si="1"/>
        <v>30.929897763206803</v>
      </c>
      <c r="E22" s="46">
        <f t="shared" si="2"/>
        <v>3092989.7763206805</v>
      </c>
    </row>
    <row r="23" spans="1:5">
      <c r="A23" s="44" t="s">
        <v>187</v>
      </c>
      <c r="B23" s="50">
        <v>412227764</v>
      </c>
      <c r="C23" s="55">
        <f t="shared" si="0"/>
        <v>531592174.77874458</v>
      </c>
      <c r="D23" s="60">
        <f t="shared" si="1"/>
        <v>1577.4248509755032</v>
      </c>
      <c r="E23" s="55">
        <f t="shared" si="2"/>
        <v>157742485.09755033</v>
      </c>
    </row>
    <row r="24" spans="1:5">
      <c r="A24" s="45" t="s">
        <v>188</v>
      </c>
      <c r="B24" s="46">
        <v>267948046</v>
      </c>
      <c r="C24" s="54">
        <f t="shared" si="0"/>
        <v>345534912.83244836</v>
      </c>
      <c r="D24" s="58">
        <f t="shared" si="1"/>
        <v>1025.3261508381258</v>
      </c>
      <c r="E24" s="46">
        <f t="shared" si="2"/>
        <v>102532615.08381259</v>
      </c>
    </row>
    <row r="25" spans="1:5">
      <c r="A25" s="47" t="s">
        <v>220</v>
      </c>
      <c r="B25" s="48">
        <v>82445553</v>
      </c>
      <c r="C25" s="53">
        <f t="shared" si="0"/>
        <v>106318435.21366079</v>
      </c>
      <c r="D25" s="59">
        <f t="shared" si="1"/>
        <v>315.48497096041774</v>
      </c>
      <c r="E25" s="56">
        <f t="shared" si="2"/>
        <v>31548497.096041773</v>
      </c>
    </row>
    <row r="26" spans="1:5">
      <c r="A26" s="47" t="s">
        <v>221</v>
      </c>
      <c r="B26" s="48">
        <v>41222776</v>
      </c>
      <c r="C26" s="53">
        <f t="shared" si="0"/>
        <v>53159216.962050706</v>
      </c>
      <c r="D26" s="59">
        <f t="shared" si="1"/>
        <v>157.74248356691606</v>
      </c>
      <c r="E26" s="56">
        <f t="shared" si="2"/>
        <v>15774248.356691606</v>
      </c>
    </row>
    <row r="27" spans="1:5">
      <c r="A27" s="47" t="s">
        <v>223</v>
      </c>
      <c r="B27" s="48">
        <v>20611388</v>
      </c>
      <c r="C27" s="53">
        <f t="shared" si="0"/>
        <v>26579608.481025353</v>
      </c>
      <c r="D27" s="59">
        <f t="shared" si="1"/>
        <v>78.871241783458032</v>
      </c>
      <c r="E27" s="56">
        <f t="shared" si="2"/>
        <v>7887124.1783458032</v>
      </c>
    </row>
    <row r="28" spans="1:5">
      <c r="A28" s="47" t="s">
        <v>222</v>
      </c>
      <c r="B28" s="48">
        <v>123668329</v>
      </c>
      <c r="C28" s="53">
        <f t="shared" si="0"/>
        <v>159477652.17571148</v>
      </c>
      <c r="D28" s="59">
        <f t="shared" si="1"/>
        <v>473.2274545273338</v>
      </c>
      <c r="E28" s="56">
        <f t="shared" si="2"/>
        <v>47322745.452733383</v>
      </c>
    </row>
    <row r="29" spans="1:5">
      <c r="A29" s="44" t="s">
        <v>193</v>
      </c>
      <c r="B29" s="50">
        <v>680175810</v>
      </c>
      <c r="C29" s="55">
        <f t="shared" si="0"/>
        <v>877127087.61119294</v>
      </c>
      <c r="D29" s="60">
        <f t="shared" si="1"/>
        <v>2602.7510018136286</v>
      </c>
      <c r="E29" s="55">
        <f t="shared" si="2"/>
        <v>260275100.18136287</v>
      </c>
    </row>
    <row r="31" spans="1:5">
      <c r="A31" s="42"/>
    </row>
    <row r="32" spans="1:5">
      <c r="B32" s="42"/>
      <c r="C32" s="42"/>
    </row>
    <row r="33" spans="1:3">
      <c r="B33" s="42"/>
      <c r="C33" s="42"/>
    </row>
    <row r="34" spans="1:3">
      <c r="A34" s="42"/>
    </row>
    <row r="35" spans="1:3">
      <c r="A35" s="42"/>
      <c r="B35" s="43"/>
      <c r="C35" s="43"/>
    </row>
  </sheetData>
  <hyperlinks>
    <hyperlink ref="C2" r:id="rId1" xr:uid="{2637E4D3-6D41-4B41-AE9E-50E637F26AB7}"/>
    <hyperlink ref="C3" r:id="rId2" xr:uid="{BF098D95-B17F-4528-B44C-74A9588015DD}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18C9-C27E-4118-8BF5-4A43DCBB691B}">
  <sheetPr>
    <tabColor theme="4"/>
  </sheetPr>
  <dimension ref="A1:D12"/>
  <sheetViews>
    <sheetView workbookViewId="0">
      <selection activeCell="B7" sqref="B7"/>
    </sheetView>
  </sheetViews>
  <sheetFormatPr defaultRowHeight="18"/>
  <cols>
    <col min="1" max="1" width="49.6640625" bestFit="1" customWidth="1"/>
    <col min="2" max="2" width="10.25" bestFit="1" customWidth="1"/>
    <col min="4" max="4" width="13.58203125" customWidth="1"/>
  </cols>
  <sheetData>
    <row r="1" spans="1:4">
      <c r="A1" t="s">
        <v>230</v>
      </c>
      <c r="B1">
        <v>500</v>
      </c>
    </row>
    <row r="2" spans="1:4">
      <c r="A2" t="s">
        <v>241</v>
      </c>
      <c r="B2">
        <v>2230</v>
      </c>
    </row>
    <row r="4" spans="1:4">
      <c r="A4" t="s">
        <v>231</v>
      </c>
      <c r="B4">
        <v>100</v>
      </c>
    </row>
    <row r="6" spans="1:4" ht="52.2">
      <c r="A6" s="44" t="s">
        <v>219</v>
      </c>
      <c r="B6" s="44" t="s">
        <v>239</v>
      </c>
      <c r="C6" s="44" t="s">
        <v>240</v>
      </c>
      <c r="D6" s="44" t="s">
        <v>232</v>
      </c>
    </row>
    <row r="7" spans="1:4">
      <c r="A7" s="57" t="s">
        <v>233</v>
      </c>
      <c r="B7" s="57">
        <v>423.7</v>
      </c>
      <c r="C7" s="57">
        <v>0.19</v>
      </c>
      <c r="D7" s="61">
        <f>B7*$B$4*1/1000</f>
        <v>42.37</v>
      </c>
    </row>
    <row r="8" spans="1:4">
      <c r="A8" s="57" t="s">
        <v>234</v>
      </c>
      <c r="B8" s="57">
        <v>133.79999999999998</v>
      </c>
      <c r="C8" s="57">
        <v>0.06</v>
      </c>
      <c r="D8" s="61">
        <f t="shared" ref="D8:D12" si="0">B8*$B$4*1/1000</f>
        <v>13.379999999999999</v>
      </c>
    </row>
    <row r="9" spans="1:4">
      <c r="A9" s="57" t="s">
        <v>235</v>
      </c>
      <c r="B9" s="57">
        <v>89.2</v>
      </c>
      <c r="C9" s="57">
        <v>0.04</v>
      </c>
      <c r="D9" s="61">
        <f t="shared" si="0"/>
        <v>8.92</v>
      </c>
    </row>
    <row r="10" spans="1:4">
      <c r="A10" s="57" t="s">
        <v>236</v>
      </c>
      <c r="B10" s="57">
        <v>825.1</v>
      </c>
      <c r="C10" s="57">
        <v>0.37</v>
      </c>
      <c r="D10" s="61">
        <f t="shared" si="0"/>
        <v>82.51</v>
      </c>
    </row>
    <row r="11" spans="1:4">
      <c r="A11" s="57" t="s">
        <v>237</v>
      </c>
      <c r="B11" s="57">
        <v>379.1</v>
      </c>
      <c r="C11" s="57">
        <v>0.17</v>
      </c>
      <c r="D11" s="61">
        <f t="shared" si="0"/>
        <v>37.909999999999997</v>
      </c>
    </row>
    <row r="12" spans="1:4">
      <c r="A12" s="57" t="s">
        <v>238</v>
      </c>
      <c r="B12" s="57">
        <v>379.1</v>
      </c>
      <c r="C12" s="57">
        <v>0.17</v>
      </c>
      <c r="D12" s="61">
        <f t="shared" si="0"/>
        <v>37.909999999999997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C55D-CD19-45F9-8527-FE81F0C26211}">
  <dimension ref="A1:K57"/>
  <sheetViews>
    <sheetView topLeftCell="A37" workbookViewId="0">
      <selection activeCell="D11" sqref="D11"/>
    </sheetView>
  </sheetViews>
  <sheetFormatPr defaultRowHeight="18"/>
  <cols>
    <col min="1" max="1" width="37" bestFit="1" customWidth="1"/>
    <col min="2" max="2" width="12.33203125" bestFit="1" customWidth="1"/>
    <col min="3" max="3" width="14.9140625" bestFit="1" customWidth="1"/>
    <col min="4" max="4" width="9.33203125" bestFit="1" customWidth="1"/>
    <col min="6" max="6" width="21.9140625" bestFit="1" customWidth="1"/>
    <col min="7" max="7" width="11.6640625" bestFit="1" customWidth="1"/>
  </cols>
  <sheetData>
    <row r="1" spans="1:8">
      <c r="A1" t="s">
        <v>230</v>
      </c>
      <c r="B1">
        <v>116.2</v>
      </c>
      <c r="C1" t="s">
        <v>87</v>
      </c>
    </row>
    <row r="2" spans="1:8">
      <c r="A2" t="s">
        <v>225</v>
      </c>
      <c r="B2">
        <v>292.65600000000001</v>
      </c>
      <c r="C2" s="52" t="s">
        <v>227</v>
      </c>
    </row>
    <row r="3" spans="1:8">
      <c r="A3" t="s">
        <v>226</v>
      </c>
      <c r="B3">
        <v>323.976</v>
      </c>
      <c r="C3" s="52" t="s">
        <v>227</v>
      </c>
    </row>
    <row r="5" spans="1:8">
      <c r="B5" t="s">
        <v>251</v>
      </c>
      <c r="C5" t="s">
        <v>262</v>
      </c>
      <c r="D5" t="s">
        <v>49</v>
      </c>
    </row>
    <row r="6" spans="1:8">
      <c r="A6" t="s">
        <v>252</v>
      </c>
      <c r="B6" s="27">
        <v>11873465</v>
      </c>
      <c r="C6" s="82">
        <f>($B$3/$B$2)*B6</f>
        <v>13144161.393718222</v>
      </c>
      <c r="D6" s="82">
        <f>C6/$B$1*1/1000</f>
        <v>113.11670734697265</v>
      </c>
    </row>
    <row r="7" spans="1:8">
      <c r="A7" t="s">
        <v>253</v>
      </c>
      <c r="B7" s="27">
        <v>50682448</v>
      </c>
      <c r="C7" s="82">
        <f t="shared" ref="C7:C11" si="0">($B$3/$B$2)*B7</f>
        <v>56106475.771034941</v>
      </c>
      <c r="D7" s="82">
        <f t="shared" ref="D7:D11" si="1">C7/$B$1*1/1000</f>
        <v>482.8440255682869</v>
      </c>
      <c r="G7">
        <v>35263107</v>
      </c>
      <c r="H7">
        <f>G7/B1/1000</f>
        <v>303.46907917383817</v>
      </c>
    </row>
    <row r="8" spans="1:8">
      <c r="A8" t="s">
        <v>243</v>
      </c>
      <c r="B8">
        <v>21802721</v>
      </c>
      <c r="C8" s="82">
        <f t="shared" si="0"/>
        <v>24136044.840003282</v>
      </c>
      <c r="D8" s="82">
        <f t="shared" si="1"/>
        <v>207.71122925992498</v>
      </c>
    </row>
    <row r="9" spans="1:8">
      <c r="A9" t="s">
        <v>248</v>
      </c>
      <c r="B9" s="27">
        <v>73985792</v>
      </c>
      <c r="C9" s="82">
        <f t="shared" si="0"/>
        <v>81903740.053140894</v>
      </c>
      <c r="D9" s="82">
        <f t="shared" si="1"/>
        <v>704.85146345215912</v>
      </c>
      <c r="G9">
        <v>15862782</v>
      </c>
    </row>
    <row r="10" spans="1:8">
      <c r="A10" t="s">
        <v>249</v>
      </c>
      <c r="B10">
        <v>69282995.381643414</v>
      </c>
      <c r="C10" s="82">
        <f t="shared" si="0"/>
        <v>76697650.865737617</v>
      </c>
      <c r="D10" s="82">
        <f t="shared" si="1"/>
        <v>660.04863051409313</v>
      </c>
      <c r="G10">
        <v>55644499</v>
      </c>
    </row>
    <row r="11" spans="1:8">
      <c r="A11" t="s">
        <v>244</v>
      </c>
      <c r="B11" s="27">
        <v>216913259</v>
      </c>
      <c r="C11" s="82">
        <f t="shared" si="0"/>
        <v>240127282.53575531</v>
      </c>
      <c r="D11" s="82">
        <f t="shared" si="1"/>
        <v>2066.4998497052952</v>
      </c>
    </row>
    <row r="15" spans="1:8">
      <c r="A15" s="66" t="s">
        <v>144</v>
      </c>
      <c r="F15" t="s">
        <v>252</v>
      </c>
    </row>
    <row r="16" spans="1:8">
      <c r="F16" s="67" t="s">
        <v>145</v>
      </c>
      <c r="G16" s="27">
        <v>5547274</v>
      </c>
    </row>
    <row r="17" spans="1:7">
      <c r="F17" s="67" t="s">
        <v>146</v>
      </c>
      <c r="G17" s="27">
        <v>1145442</v>
      </c>
    </row>
    <row r="18" spans="1:7">
      <c r="F18" s="67" t="s">
        <v>148</v>
      </c>
      <c r="G18" t="s">
        <v>254</v>
      </c>
    </row>
    <row r="19" spans="1:7">
      <c r="F19" s="67" t="s">
        <v>149</v>
      </c>
      <c r="G19" s="27">
        <v>5180749</v>
      </c>
    </row>
    <row r="22" spans="1:7">
      <c r="F22" s="62" t="s">
        <v>256</v>
      </c>
    </row>
    <row r="23" spans="1:7">
      <c r="A23" s="66" t="s">
        <v>150</v>
      </c>
      <c r="B23" s="69"/>
      <c r="F23" s="67" t="s">
        <v>147</v>
      </c>
      <c r="G23" s="27">
        <v>14480699</v>
      </c>
    </row>
    <row r="24" spans="1:7">
      <c r="F24" s="67" t="s">
        <v>151</v>
      </c>
      <c r="G24" s="70">
        <v>24535083.748714864</v>
      </c>
    </row>
    <row r="25" spans="1:7">
      <c r="F25" s="67" t="s">
        <v>152</v>
      </c>
      <c r="G25" s="70">
        <v>7451689.1976458067</v>
      </c>
    </row>
    <row r="26" spans="1:7">
      <c r="A26" s="67" t="s">
        <v>153</v>
      </c>
      <c r="B26" s="70">
        <v>0</v>
      </c>
      <c r="F26" s="68" t="s">
        <v>156</v>
      </c>
      <c r="G26" s="70">
        <v>4214975.6989355907</v>
      </c>
    </row>
    <row r="27" spans="1:7">
      <c r="A27" s="67" t="s">
        <v>154</v>
      </c>
      <c r="B27" s="70">
        <v>0</v>
      </c>
    </row>
    <row r="28" spans="1:7">
      <c r="A28" s="68" t="s">
        <v>155</v>
      </c>
      <c r="B28" s="70">
        <v>0</v>
      </c>
    </row>
    <row r="29" spans="1:7">
      <c r="F29" t="s">
        <v>248</v>
      </c>
    </row>
    <row r="30" spans="1:7">
      <c r="F30" s="71" t="s">
        <v>158</v>
      </c>
      <c r="G30" s="70">
        <v>15862782.028809585</v>
      </c>
    </row>
    <row r="31" spans="1:7">
      <c r="A31" s="66" t="s">
        <v>157</v>
      </c>
      <c r="B31" s="69"/>
      <c r="F31" s="71" t="s">
        <v>159</v>
      </c>
      <c r="G31" s="70">
        <v>55644499.155242048</v>
      </c>
    </row>
    <row r="32" spans="1:7">
      <c r="F32" s="66" t="s">
        <v>164</v>
      </c>
      <c r="G32" s="70">
        <v>2478511.0688367505</v>
      </c>
    </row>
    <row r="33" spans="1:11">
      <c r="F33" s="81"/>
      <c r="G33" s="70"/>
    </row>
    <row r="34" spans="1:11">
      <c r="F34" s="64" t="s">
        <v>257</v>
      </c>
    </row>
    <row r="35" spans="1:11">
      <c r="A35" s="71" t="s">
        <v>160</v>
      </c>
      <c r="B35" s="72">
        <v>0</v>
      </c>
      <c r="F35" t="s">
        <v>258</v>
      </c>
      <c r="G35" s="72">
        <v>21802721.096765671</v>
      </c>
    </row>
    <row r="36" spans="1:11">
      <c r="F36" t="s">
        <v>259</v>
      </c>
    </row>
    <row r="37" spans="1:11">
      <c r="A37" s="66" t="s">
        <v>161</v>
      </c>
      <c r="B37" s="69"/>
    </row>
    <row r="38" spans="1:11">
      <c r="A38" s="67" t="s">
        <v>162</v>
      </c>
      <c r="B38" s="70">
        <v>1641809.0457831325</v>
      </c>
      <c r="F38" s="64" t="s">
        <v>249</v>
      </c>
    </row>
    <row r="39" spans="1:11">
      <c r="A39" s="67" t="s">
        <v>163</v>
      </c>
      <c r="B39" s="70">
        <v>0</v>
      </c>
      <c r="F39" s="67" t="s">
        <v>169</v>
      </c>
      <c r="G39" s="63">
        <v>13856599.076328684</v>
      </c>
    </row>
    <row r="40" spans="1:11">
      <c r="A40" s="67"/>
      <c r="B40" s="70"/>
      <c r="F40" s="67" t="s">
        <v>170</v>
      </c>
      <c r="G40" s="63">
        <v>16627918.891594419</v>
      </c>
    </row>
    <row r="41" spans="1:11">
      <c r="F41" s="67" t="s">
        <v>174</v>
      </c>
      <c r="G41" s="83">
        <v>19399238.706860159</v>
      </c>
    </row>
    <row r="42" spans="1:11">
      <c r="C42" s="73"/>
      <c r="D42" s="69"/>
      <c r="E42" s="74"/>
      <c r="F42" s="67" t="s">
        <v>172</v>
      </c>
      <c r="G42" s="70">
        <v>69282995.381643414</v>
      </c>
      <c r="H42" s="75"/>
      <c r="I42" s="74"/>
      <c r="J42" s="76"/>
      <c r="K42" s="77"/>
    </row>
    <row r="43" spans="1:11">
      <c r="F43" s="65" t="s">
        <v>244</v>
      </c>
    </row>
    <row r="44" spans="1:11">
      <c r="F44" s="62" t="s">
        <v>260</v>
      </c>
      <c r="G44" s="70">
        <v>5954843.4223443484</v>
      </c>
    </row>
    <row r="45" spans="1:11">
      <c r="B45" s="69"/>
      <c r="F45" s="62" t="s">
        <v>261</v>
      </c>
      <c r="G45" s="70">
        <v>410452.26144578314</v>
      </c>
    </row>
    <row r="46" spans="1:11">
      <c r="A46" s="66" t="s">
        <v>166</v>
      </c>
      <c r="B46" s="69"/>
      <c r="F46" s="66" t="s">
        <v>165</v>
      </c>
      <c r="G46" s="70">
        <v>110780450.41747513</v>
      </c>
    </row>
    <row r="47" spans="1:11">
      <c r="A47" s="67" t="s">
        <v>167</v>
      </c>
      <c r="B47" s="70">
        <v>0</v>
      </c>
      <c r="F47" s="67" t="s">
        <v>171</v>
      </c>
      <c r="G47" s="70">
        <v>91453553.903769314</v>
      </c>
    </row>
    <row r="48" spans="1:11">
      <c r="A48" s="67"/>
      <c r="B48" s="70"/>
      <c r="F48" s="67" t="s">
        <v>173</v>
      </c>
      <c r="G48" s="70">
        <v>8313959.4457972096</v>
      </c>
    </row>
    <row r="49" spans="1:2">
      <c r="A49" s="66" t="s">
        <v>168</v>
      </c>
      <c r="B49" s="69"/>
    </row>
    <row r="56" spans="1:2">
      <c r="A56" s="78"/>
      <c r="B56" s="69"/>
    </row>
    <row r="57" spans="1:2">
      <c r="A57" s="79" t="s">
        <v>255</v>
      </c>
      <c r="B57" s="80">
        <v>496066246.93256688</v>
      </c>
    </row>
  </sheetData>
  <hyperlinks>
    <hyperlink ref="C2" r:id="rId1" xr:uid="{354E8CCC-7F2F-4B95-8F5F-8D4ADB5A2536}"/>
    <hyperlink ref="C3" r:id="rId2" xr:uid="{DA40C02C-AEB8-4359-8E25-ED017CE7B59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6F42-5B8D-4EEA-B1E1-EDD0F52D3E9E}">
  <sheetPr>
    <tabColor theme="9"/>
  </sheetPr>
  <dimension ref="A1:H9"/>
  <sheetViews>
    <sheetView tabSelected="1" zoomScale="86" zoomScaleNormal="85" workbookViewId="0">
      <selection activeCell="C14" sqref="C14"/>
    </sheetView>
  </sheetViews>
  <sheetFormatPr defaultRowHeight="18"/>
  <cols>
    <col min="1" max="1" width="37" bestFit="1" customWidth="1"/>
    <col min="3" max="3" width="14.6640625" bestFit="1" customWidth="1"/>
    <col min="5" max="5" width="18.33203125" bestFit="1" customWidth="1"/>
  </cols>
  <sheetData>
    <row r="1" spans="1:8">
      <c r="A1" s="64" t="s">
        <v>242</v>
      </c>
      <c r="B1" s="64" t="s">
        <v>245</v>
      </c>
      <c r="C1" s="64" t="s">
        <v>246</v>
      </c>
      <c r="D1" s="64" t="s">
        <v>247</v>
      </c>
      <c r="E1" s="64" t="s">
        <v>263</v>
      </c>
    </row>
    <row r="2" spans="1:8">
      <c r="A2" t="s">
        <v>250</v>
      </c>
      <c r="B2" s="84">
        <v>204.21</v>
      </c>
      <c r="C2">
        <v>423.7</v>
      </c>
      <c r="D2">
        <v>113.11670734697265</v>
      </c>
      <c r="E2">
        <f>(C2+D2+4*B2)/6</f>
        <v>225.60945122449547</v>
      </c>
    </row>
    <row r="3" spans="1:8">
      <c r="A3" t="s">
        <v>180</v>
      </c>
      <c r="B3">
        <v>182.28</v>
      </c>
      <c r="C3">
        <v>120</v>
      </c>
      <c r="D3" s="84">
        <v>482.8440255682869</v>
      </c>
      <c r="E3">
        <f>(B3+C3+4*D3)/6</f>
        <v>372.27601704552461</v>
      </c>
    </row>
    <row r="4" spans="1:8">
      <c r="A4" t="s">
        <v>243</v>
      </c>
      <c r="B4">
        <v>131.36000000000001</v>
      </c>
      <c r="C4">
        <v>70</v>
      </c>
      <c r="D4" s="84">
        <v>207.71122925992498</v>
      </c>
      <c r="E4">
        <f>(B4+C4+4*D4)/6</f>
        <v>172.03415283995</v>
      </c>
    </row>
    <row r="5" spans="1:8">
      <c r="A5" t="s">
        <v>248</v>
      </c>
      <c r="B5">
        <v>525.44000000000005</v>
      </c>
      <c r="C5">
        <v>750</v>
      </c>
      <c r="D5" s="84">
        <v>704.85146345215912</v>
      </c>
      <c r="E5">
        <f>(B5+C5+4*D5)/6</f>
        <v>682.47430896810613</v>
      </c>
    </row>
    <row r="6" spans="1:8">
      <c r="A6" t="s">
        <v>249</v>
      </c>
      <c r="B6">
        <v>253.4</v>
      </c>
      <c r="C6" s="84">
        <v>379.1</v>
      </c>
      <c r="D6">
        <v>660.04863051409313</v>
      </c>
      <c r="E6">
        <f>(B6+D6+4*C6)/6</f>
        <v>404.97477175234889</v>
      </c>
    </row>
    <row r="7" spans="1:8">
      <c r="A7" t="s">
        <v>244</v>
      </c>
      <c r="B7" s="84">
        <v>78.87</v>
      </c>
      <c r="C7">
        <v>379.1</v>
      </c>
      <c r="D7">
        <v>2066.4998497052952</v>
      </c>
      <c r="E7">
        <f>(4*B7+C7+D7)/6</f>
        <v>460.17997495088252</v>
      </c>
      <c r="H7">
        <v>2317.54867678131</v>
      </c>
    </row>
    <row r="9" spans="1:8">
      <c r="A9" t="s">
        <v>193</v>
      </c>
      <c r="E9">
        <f>SUM(E2:E7)</f>
        <v>2317.5486767813077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NREL</vt:lpstr>
      <vt:lpstr>Plant Output charac</vt:lpstr>
      <vt:lpstr>Plant Specifications</vt:lpstr>
      <vt:lpstr>NEA Tariff</vt:lpstr>
      <vt:lpstr>Plant Sizing based on NREL</vt:lpstr>
      <vt:lpstr>ENTURA</vt:lpstr>
      <vt:lpstr>Sheet2</vt:lpstr>
      <vt:lpstr>Sheet3</vt:lpstr>
      <vt:lpstr>Costing Entura</vt:lpstr>
      <vt:lpstr>Black &amp;</vt:lpstr>
      <vt:lpstr>NREL Direct</vt:lpstr>
      <vt:lpstr>CAPEX 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Bhatta</dc:creator>
  <cp:lastModifiedBy>Ashish Bhatta</cp:lastModifiedBy>
  <dcterms:created xsi:type="dcterms:W3CDTF">2025-10-15T13:09:08Z</dcterms:created>
  <dcterms:modified xsi:type="dcterms:W3CDTF">2025-11-23T11:10:31Z</dcterms:modified>
</cp:coreProperties>
</file>