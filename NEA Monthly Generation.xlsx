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mita\Desktop\"/>
    </mc:Choice>
  </mc:AlternateContent>
  <xr:revisionPtr revIDLastSave="0" documentId="8_{897284E2-6C6A-4CC1-94F7-1C23A1E7AAED}" xr6:coauthVersionLast="47" xr6:coauthVersionMax="47" xr10:uidLastSave="{00000000-0000-0000-0000-000000000000}"/>
  <bookViews>
    <workbookView xWindow="-108" yWindow="-108" windowWidth="23256" windowHeight="12456" activeTab="1" xr2:uid="{E9B55231-D2FB-4101-8336-2013BE15A18F}"/>
  </bookViews>
  <sheets>
    <sheet name="Sheet1" sheetId="1" r:id="rId1"/>
    <sheet name="Generation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2" l="1"/>
  <c r="E22" i="2"/>
  <c r="E23" i="2"/>
  <c r="E24" i="2"/>
  <c r="E25" i="2"/>
  <c r="E26" i="2"/>
  <c r="E27" i="2"/>
  <c r="E28" i="2"/>
  <c r="E29" i="2"/>
  <c r="E30" i="2"/>
  <c r="E31" i="2"/>
  <c r="E20" i="2"/>
  <c r="G3" i="2"/>
  <c r="G4" i="2"/>
  <c r="G5" i="2"/>
  <c r="G6" i="2"/>
  <c r="G7" i="2"/>
  <c r="G8" i="2"/>
  <c r="G9" i="2"/>
  <c r="G10" i="2"/>
  <c r="G11" i="2"/>
  <c r="G12" i="2"/>
  <c r="G13" i="2"/>
  <c r="G2" i="2"/>
</calcChain>
</file>

<file path=xl/sharedStrings.xml><?xml version="1.0" encoding="utf-8"?>
<sst xmlns="http://schemas.openxmlformats.org/spreadsheetml/2006/main" count="40" uniqueCount="23">
  <si>
    <t>MONTHLY</t>
  </si>
  <si>
    <t>NATIONAL ENERGY</t>
  </si>
  <si>
    <t>DEMAND</t>
  </si>
  <si>
    <t>Shrawan</t>
  </si>
  <si>
    <t>Bhadra</t>
  </si>
  <si>
    <t>Ashoj</t>
  </si>
  <si>
    <t>Kartik</t>
  </si>
  <si>
    <t>Mangsir</t>
  </si>
  <si>
    <t>Poush</t>
  </si>
  <si>
    <t>Magh</t>
  </si>
  <si>
    <t>Falgun</t>
  </si>
  <si>
    <t>Chaitra</t>
  </si>
  <si>
    <t>Baishak</t>
  </si>
  <si>
    <t>Jestha</t>
  </si>
  <si>
    <t>Ashad</t>
  </si>
  <si>
    <t>Generation</t>
  </si>
  <si>
    <t>IPP</t>
  </si>
  <si>
    <t>NEA SUBSIDIARY</t>
  </si>
  <si>
    <t>NEA ROR &amp; PROR</t>
  </si>
  <si>
    <t>IMPORT</t>
  </si>
  <si>
    <t>NEA STORAGE</t>
  </si>
  <si>
    <t>NEA SOLAR</t>
  </si>
  <si>
    <t>INTERRUPTION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</si>
</sst>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Sheet1!$A$4:$A$15</c:f>
              <c:strCache>
                <c:ptCount val="12"/>
                <c:pt idx="0">
                  <c:v>Shrawan</c:v>
                </c:pt>
                <c:pt idx="1">
                  <c:v>Bhadra</c:v>
                </c:pt>
                <c:pt idx="2">
                  <c:v>Ashoj</c:v>
                </c:pt>
                <c:pt idx="3">
                  <c:v>Kartik</c:v>
                </c:pt>
                <c:pt idx="4">
                  <c:v>Mangsir</c:v>
                </c:pt>
                <c:pt idx="5">
                  <c:v>Poush</c:v>
                </c:pt>
                <c:pt idx="6">
                  <c:v>Magh</c:v>
                </c:pt>
                <c:pt idx="7">
                  <c:v>Falgun</c:v>
                </c:pt>
                <c:pt idx="8">
                  <c:v>Chaitra</c:v>
                </c:pt>
                <c:pt idx="9">
                  <c:v>Baishak</c:v>
                </c:pt>
                <c:pt idx="10">
                  <c:v>Jestha</c:v>
                </c:pt>
                <c:pt idx="11">
                  <c:v>Ashad</c:v>
                </c:pt>
              </c:strCache>
            </c:strRef>
          </c:xVal>
          <c:yVal>
            <c:numRef>
              <c:f>Sheet1!$B$4:$B$15</c:f>
              <c:numCache>
                <c:formatCode>General</c:formatCode>
                <c:ptCount val="12"/>
                <c:pt idx="0">
                  <c:v>1311</c:v>
                </c:pt>
                <c:pt idx="1">
                  <c:v>1293</c:v>
                </c:pt>
                <c:pt idx="2">
                  <c:v>1131</c:v>
                </c:pt>
                <c:pt idx="3">
                  <c:v>963</c:v>
                </c:pt>
                <c:pt idx="4">
                  <c:v>995</c:v>
                </c:pt>
                <c:pt idx="5">
                  <c:v>1061</c:v>
                </c:pt>
                <c:pt idx="6">
                  <c:v>1067</c:v>
                </c:pt>
                <c:pt idx="7">
                  <c:v>1013</c:v>
                </c:pt>
                <c:pt idx="8">
                  <c:v>1136</c:v>
                </c:pt>
                <c:pt idx="9">
                  <c:v>1268</c:v>
                </c:pt>
                <c:pt idx="10">
                  <c:v>1355</c:v>
                </c:pt>
                <c:pt idx="11">
                  <c:v>1472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F4-4DC6-B8ED-E8A9AF32C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9487168"/>
        <c:axId val="1559496768"/>
      </c:scatterChart>
      <c:valAx>
        <c:axId val="155948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496768"/>
        <c:crosses val="autoZero"/>
        <c:crossBetween val="midCat"/>
      </c:valAx>
      <c:valAx>
        <c:axId val="155949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487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'Generation '!$A$2:$A$13</c:f>
              <c:strCache>
                <c:ptCount val="12"/>
                <c:pt idx="0">
                  <c:v>Shrawan</c:v>
                </c:pt>
                <c:pt idx="1">
                  <c:v>Bhadra</c:v>
                </c:pt>
                <c:pt idx="2">
                  <c:v>Ashoj</c:v>
                </c:pt>
                <c:pt idx="3">
                  <c:v>Kartik</c:v>
                </c:pt>
                <c:pt idx="4">
                  <c:v>Mangsir</c:v>
                </c:pt>
                <c:pt idx="5">
                  <c:v>Poush</c:v>
                </c:pt>
                <c:pt idx="6">
                  <c:v>Magh</c:v>
                </c:pt>
                <c:pt idx="7">
                  <c:v>Falgun</c:v>
                </c:pt>
                <c:pt idx="8">
                  <c:v>Chaitra</c:v>
                </c:pt>
                <c:pt idx="9">
                  <c:v>Baishak</c:v>
                </c:pt>
                <c:pt idx="10">
                  <c:v>Jestha</c:v>
                </c:pt>
                <c:pt idx="11">
                  <c:v>Ashad</c:v>
                </c:pt>
              </c:strCache>
            </c:strRef>
          </c:xVal>
          <c:yVal>
            <c:numRef>
              <c:f>'Generation '!$G$2:$G$13</c:f>
              <c:numCache>
                <c:formatCode>General</c:formatCode>
                <c:ptCount val="12"/>
                <c:pt idx="0">
                  <c:v>1810</c:v>
                </c:pt>
                <c:pt idx="1">
                  <c:v>1848</c:v>
                </c:pt>
                <c:pt idx="2">
                  <c:v>1487</c:v>
                </c:pt>
                <c:pt idx="3">
                  <c:v>1256</c:v>
                </c:pt>
                <c:pt idx="4">
                  <c:v>1007</c:v>
                </c:pt>
                <c:pt idx="5">
                  <c:v>834</c:v>
                </c:pt>
                <c:pt idx="6">
                  <c:v>721</c:v>
                </c:pt>
                <c:pt idx="7">
                  <c:v>605</c:v>
                </c:pt>
                <c:pt idx="8">
                  <c:v>699</c:v>
                </c:pt>
                <c:pt idx="9">
                  <c:v>826</c:v>
                </c:pt>
                <c:pt idx="10">
                  <c:v>1265</c:v>
                </c:pt>
                <c:pt idx="11">
                  <c:v>1956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CD-4B6C-AC13-9D8673939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9498208"/>
        <c:axId val="1559481888"/>
      </c:scatterChart>
      <c:valAx>
        <c:axId val="155949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481888"/>
        <c:crosses val="autoZero"/>
        <c:crossBetween val="midCat"/>
      </c:valAx>
      <c:valAx>
        <c:axId val="155948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498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'Generation '!$E$20:$E$31</c:f>
              <c:numCache>
                <c:formatCode>General</c:formatCode>
                <c:ptCount val="12"/>
                <c:pt idx="0">
                  <c:v>2679</c:v>
                </c:pt>
                <c:pt idx="1">
                  <c:v>2498</c:v>
                </c:pt>
                <c:pt idx="2">
                  <c:v>2779</c:v>
                </c:pt>
                <c:pt idx="3">
                  <c:v>2003</c:v>
                </c:pt>
                <c:pt idx="4">
                  <c:v>1438</c:v>
                </c:pt>
                <c:pt idx="5">
                  <c:v>1467</c:v>
                </c:pt>
                <c:pt idx="6">
                  <c:v>1548</c:v>
                </c:pt>
                <c:pt idx="7">
                  <c:v>1445</c:v>
                </c:pt>
                <c:pt idx="8">
                  <c:v>1606</c:v>
                </c:pt>
                <c:pt idx="9">
                  <c:v>1555</c:v>
                </c:pt>
                <c:pt idx="10">
                  <c:v>2235</c:v>
                </c:pt>
                <c:pt idx="11">
                  <c:v>2901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23-4E3A-8499-ADB8541D5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502528"/>
        <c:axId val="1559507808"/>
      </c:lineChart>
      <c:catAx>
        <c:axId val="15595025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507808"/>
        <c:crosses val="autoZero"/>
        <c:auto val="1"/>
        <c:lblAlgn val="ctr"/>
        <c:lblOffset val="100"/>
        <c:noMultiLvlLbl val="0"/>
      </c:catAx>
      <c:valAx>
        <c:axId val="155950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502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4</xdr:row>
      <xdr:rowOff>179070</xdr:rowOff>
    </xdr:from>
    <xdr:to>
      <xdr:col>11</xdr:col>
      <xdr:colOff>621030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508DA2-6512-12AA-5D30-8C5EB93C1D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514350</xdr:colOff>
      <xdr:row>5</xdr:row>
      <xdr:rowOff>217170</xdr:rowOff>
    </xdr:from>
    <xdr:to>
      <xdr:col>13</xdr:col>
      <xdr:colOff>331470</xdr:colOff>
      <xdr:row>17</xdr:row>
      <xdr:rowOff>217170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2113E7-8E37-7516-A280-1CF03474BD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1116330</xdr:colOff>
      <xdr:row>17</xdr:row>
      <xdr:rowOff>163830</xdr:rowOff>
    </xdr:from>
    <xdr:to>
      <xdr:col>12</xdr:col>
      <xdr:colOff>148590</xdr:colOff>
      <xdr:row>29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00AD35-A0F6-792B-EE5A-7E1E9B93B8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829C-F192-465D-B344-539A6EC4F84B}">
  <dimension ref="A1:C15"/>
  <sheetViews>
    <sheetView workbookViewId="0">
      <selection activeCell="A4" sqref="A4:A15"/>
    </sheetView>
  </sheetViews>
  <sheetFormatPr defaultRowHeight="18" x14ac:dyDescent="0.35"/>
  <sheetData>
    <row r="1" spans="1:3" x14ac:dyDescent="0.35">
      <c r="A1" t="s">
        <v>0</v>
      </c>
    </row>
    <row r="2" spans="1:3" x14ac:dyDescent="0.35">
      <c r="A2" t="s">
        <v>1</v>
      </c>
    </row>
    <row r="3" spans="1:3" x14ac:dyDescent="0.35">
      <c r="B3" t="s">
        <v>2</v>
      </c>
      <c r="C3" t="s">
        <v>15</v>
      </c>
    </row>
    <row r="4" spans="1:3" x14ac:dyDescent="0.35">
      <c r="A4" t="s">
        <v>3</v>
      </c>
      <c r="B4">
        <v>1311</v>
      </c>
    </row>
    <row r="5" spans="1:3" x14ac:dyDescent="0.35">
      <c r="A5" t="s">
        <v>4</v>
      </c>
      <c r="B5">
        <v>1293</v>
      </c>
    </row>
    <row r="6" spans="1:3" x14ac:dyDescent="0.35">
      <c r="A6" t="s">
        <v>5</v>
      </c>
      <c r="B6">
        <v>1131</v>
      </c>
    </row>
    <row r="7" spans="1:3" x14ac:dyDescent="0.35">
      <c r="A7" t="s">
        <v>6</v>
      </c>
      <c r="B7">
        <v>963</v>
      </c>
    </row>
    <row r="8" spans="1:3" x14ac:dyDescent="0.35">
      <c r="A8" t="s">
        <v>7</v>
      </c>
      <c r="B8">
        <v>995</v>
      </c>
    </row>
    <row r="9" spans="1:3" x14ac:dyDescent="0.35">
      <c r="A9" t="s">
        <v>8</v>
      </c>
      <c r="B9">
        <v>1061</v>
      </c>
    </row>
    <row r="10" spans="1:3" x14ac:dyDescent="0.35">
      <c r="A10" t="s">
        <v>9</v>
      </c>
      <c r="B10">
        <v>1067</v>
      </c>
    </row>
    <row r="11" spans="1:3" x14ac:dyDescent="0.35">
      <c r="A11" t="s">
        <v>10</v>
      </c>
      <c r="B11">
        <v>1013</v>
      </c>
    </row>
    <row r="12" spans="1:3" x14ac:dyDescent="0.35">
      <c r="A12" t="s">
        <v>11</v>
      </c>
      <c r="B12">
        <v>1136</v>
      </c>
    </row>
    <row r="13" spans="1:3" x14ac:dyDescent="0.35">
      <c r="A13" t="s">
        <v>12</v>
      </c>
      <c r="B13">
        <v>1268</v>
      </c>
    </row>
    <row r="14" spans="1:3" x14ac:dyDescent="0.35">
      <c r="A14" t="s">
        <v>13</v>
      </c>
      <c r="B14">
        <v>1355</v>
      </c>
    </row>
    <row r="15" spans="1:3" x14ac:dyDescent="0.35">
      <c r="A15" t="s">
        <v>14</v>
      </c>
      <c r="B15">
        <v>1472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7DF34-33D5-4701-A790-01BB37CB63BD}">
  <dimension ref="A1:N32"/>
  <sheetViews>
    <sheetView tabSelected="1" topLeftCell="A12" workbookViewId="0">
      <selection activeCell="E20" sqref="E20:E31"/>
    </sheetView>
  </sheetViews>
  <sheetFormatPr defaultRowHeight="18" x14ac:dyDescent="0.35"/>
  <cols>
    <col min="1" max="1" width="7.4140625" bestFit="1" customWidth="1"/>
    <col min="2" max="2" width="13.83203125" bestFit="1" customWidth="1"/>
    <col min="3" max="4" width="14.08203125" bestFit="1" customWidth="1"/>
    <col min="5" max="5" width="11.75" bestFit="1" customWidth="1"/>
    <col min="6" max="6" width="12.5" bestFit="1" customWidth="1"/>
    <col min="7" max="7" width="4.75" bestFit="1" customWidth="1"/>
    <col min="13" max="13" width="6.83203125" bestFit="1" customWidth="1"/>
  </cols>
  <sheetData>
    <row r="1" spans="1:13" x14ac:dyDescent="0.35">
      <c r="B1" t="s">
        <v>16</v>
      </c>
      <c r="C1" t="s">
        <v>17</v>
      </c>
      <c r="D1" t="s">
        <v>18</v>
      </c>
      <c r="E1" t="s">
        <v>20</v>
      </c>
      <c r="F1" t="s">
        <v>21</v>
      </c>
      <c r="M1" t="s">
        <v>19</v>
      </c>
    </row>
    <row r="2" spans="1:13" x14ac:dyDescent="0.35">
      <c r="A2" t="s">
        <v>3</v>
      </c>
      <c r="B2">
        <v>1126</v>
      </c>
      <c r="C2">
        <v>379</v>
      </c>
      <c r="D2">
        <v>287</v>
      </c>
      <c r="E2">
        <v>15</v>
      </c>
      <c r="F2">
        <v>3</v>
      </c>
      <c r="G2">
        <f>SUM(B2:F2)</f>
        <v>1810</v>
      </c>
      <c r="M2">
        <v>0</v>
      </c>
    </row>
    <row r="3" spans="1:13" x14ac:dyDescent="0.35">
      <c r="A3" t="s">
        <v>4</v>
      </c>
      <c r="B3">
        <v>1184</v>
      </c>
      <c r="C3">
        <v>399</v>
      </c>
      <c r="D3">
        <v>247</v>
      </c>
      <c r="E3">
        <v>15</v>
      </c>
      <c r="F3">
        <v>3</v>
      </c>
      <c r="G3">
        <f>SUM(B3:F3)</f>
        <v>1848</v>
      </c>
      <c r="M3">
        <v>2</v>
      </c>
    </row>
    <row r="4" spans="1:13" x14ac:dyDescent="0.35">
      <c r="A4" t="s">
        <v>5</v>
      </c>
      <c r="B4">
        <v>1047</v>
      </c>
      <c r="C4">
        <v>167</v>
      </c>
      <c r="D4">
        <v>239</v>
      </c>
      <c r="E4">
        <v>31</v>
      </c>
      <c r="F4">
        <v>3</v>
      </c>
      <c r="G4">
        <f>SUM(B4:F4)</f>
        <v>1487</v>
      </c>
      <c r="M4">
        <v>3</v>
      </c>
    </row>
    <row r="5" spans="1:13" x14ac:dyDescent="0.35">
      <c r="A5" t="s">
        <v>6</v>
      </c>
      <c r="B5">
        <v>905</v>
      </c>
      <c r="C5">
        <v>64</v>
      </c>
      <c r="D5">
        <v>266</v>
      </c>
      <c r="E5">
        <v>18</v>
      </c>
      <c r="F5">
        <v>3</v>
      </c>
      <c r="G5">
        <f>SUM(B5:F5)</f>
        <v>1256</v>
      </c>
      <c r="M5">
        <v>0</v>
      </c>
    </row>
    <row r="6" spans="1:13" x14ac:dyDescent="0.35">
      <c r="A6" t="s">
        <v>7</v>
      </c>
      <c r="B6">
        <v>674</v>
      </c>
      <c r="C6">
        <v>75</v>
      </c>
      <c r="D6">
        <v>243</v>
      </c>
      <c r="E6">
        <v>13</v>
      </c>
      <c r="F6">
        <v>2</v>
      </c>
      <c r="G6">
        <f>SUM(B6:F6)</f>
        <v>1007</v>
      </c>
      <c r="M6">
        <v>30</v>
      </c>
    </row>
    <row r="7" spans="1:13" x14ac:dyDescent="0.35">
      <c r="A7" t="s">
        <v>8</v>
      </c>
      <c r="B7">
        <v>487</v>
      </c>
      <c r="C7">
        <v>133</v>
      </c>
      <c r="D7">
        <v>188</v>
      </c>
      <c r="E7">
        <v>24</v>
      </c>
      <c r="F7">
        <v>2</v>
      </c>
      <c r="G7">
        <f>SUM(B7:F7)</f>
        <v>834</v>
      </c>
      <c r="M7">
        <v>172</v>
      </c>
    </row>
    <row r="8" spans="1:13" x14ac:dyDescent="0.35">
      <c r="A8" t="s">
        <v>9</v>
      </c>
      <c r="B8">
        <v>411</v>
      </c>
      <c r="C8">
        <v>132</v>
      </c>
      <c r="D8">
        <v>164</v>
      </c>
      <c r="E8">
        <v>12</v>
      </c>
      <c r="F8">
        <v>2</v>
      </c>
      <c r="G8">
        <f>SUM(B8:F8)</f>
        <v>721</v>
      </c>
      <c r="M8">
        <v>296</v>
      </c>
    </row>
    <row r="9" spans="1:13" x14ac:dyDescent="0.35">
      <c r="A9" t="s">
        <v>10</v>
      </c>
      <c r="B9">
        <v>341</v>
      </c>
      <c r="C9">
        <v>114</v>
      </c>
      <c r="D9">
        <v>141</v>
      </c>
      <c r="E9">
        <v>6</v>
      </c>
      <c r="F9">
        <v>3</v>
      </c>
      <c r="G9">
        <f>SUM(B9:F9)</f>
        <v>605</v>
      </c>
      <c r="M9">
        <v>357</v>
      </c>
    </row>
    <row r="10" spans="1:13" x14ac:dyDescent="0.35">
      <c r="A10" t="s">
        <v>11</v>
      </c>
      <c r="B10">
        <v>377</v>
      </c>
      <c r="C10">
        <v>123</v>
      </c>
      <c r="D10">
        <v>152</v>
      </c>
      <c r="E10">
        <v>44</v>
      </c>
      <c r="F10">
        <v>3</v>
      </c>
      <c r="G10">
        <f>SUM(B10:F10)</f>
        <v>699</v>
      </c>
      <c r="M10">
        <v>362</v>
      </c>
    </row>
    <row r="11" spans="1:13" x14ac:dyDescent="0.35">
      <c r="A11" t="s">
        <v>12</v>
      </c>
      <c r="B11">
        <v>460</v>
      </c>
      <c r="C11">
        <v>141</v>
      </c>
      <c r="D11">
        <v>172</v>
      </c>
      <c r="E11">
        <v>50</v>
      </c>
      <c r="F11">
        <v>3</v>
      </c>
      <c r="G11">
        <f>SUM(B11:F11)</f>
        <v>826</v>
      </c>
      <c r="M11">
        <v>354</v>
      </c>
    </row>
    <row r="12" spans="1:13" x14ac:dyDescent="0.35">
      <c r="A12" t="s">
        <v>13</v>
      </c>
      <c r="B12">
        <v>713</v>
      </c>
      <c r="C12">
        <v>271</v>
      </c>
      <c r="D12">
        <v>247</v>
      </c>
      <c r="E12">
        <v>31</v>
      </c>
      <c r="F12">
        <v>3</v>
      </c>
      <c r="G12">
        <f>SUM(B12:F12)</f>
        <v>1265</v>
      </c>
      <c r="M12">
        <v>124</v>
      </c>
    </row>
    <row r="13" spans="1:13" x14ac:dyDescent="0.35">
      <c r="A13" t="s">
        <v>14</v>
      </c>
      <c r="B13">
        <v>1194</v>
      </c>
      <c r="C13">
        <v>467</v>
      </c>
      <c r="D13">
        <v>272</v>
      </c>
      <c r="E13">
        <v>20</v>
      </c>
      <c r="F13">
        <v>3</v>
      </c>
      <c r="G13">
        <f>SUM(B13:F13)</f>
        <v>1956</v>
      </c>
      <c r="M13">
        <v>10</v>
      </c>
    </row>
    <row r="15" spans="1:13" x14ac:dyDescent="0.35">
      <c r="B15">
        <v>8918</v>
      </c>
      <c r="C15">
        <v>2464</v>
      </c>
      <c r="D15">
        <v>2617</v>
      </c>
      <c r="E15">
        <v>280</v>
      </c>
      <c r="F15">
        <v>34</v>
      </c>
      <c r="M15">
        <v>1712</v>
      </c>
    </row>
    <row r="19" spans="1:14" x14ac:dyDescent="0.35">
      <c r="A19" t="s">
        <v>16</v>
      </c>
      <c r="B19" t="s">
        <v>17</v>
      </c>
      <c r="C19" t="s">
        <v>18</v>
      </c>
      <c r="D19" t="s">
        <v>20</v>
      </c>
    </row>
    <row r="20" spans="1:14" x14ac:dyDescent="0.35">
      <c r="A20">
        <v>1652</v>
      </c>
      <c r="B20">
        <v>543</v>
      </c>
      <c r="C20">
        <v>385</v>
      </c>
      <c r="D20">
        <v>99</v>
      </c>
      <c r="E20">
        <f>SUM(A20:D20)</f>
        <v>2679</v>
      </c>
      <c r="L20" t="s">
        <v>19</v>
      </c>
      <c r="N20" t="s">
        <v>22</v>
      </c>
    </row>
    <row r="21" spans="1:14" x14ac:dyDescent="0.35">
      <c r="A21">
        <v>1553</v>
      </c>
      <c r="B21">
        <v>546</v>
      </c>
      <c r="C21">
        <v>304</v>
      </c>
      <c r="D21">
        <v>95</v>
      </c>
      <c r="E21">
        <f t="shared" ref="E21:E31" si="0">SUM(A21:D21)</f>
        <v>2498</v>
      </c>
      <c r="L21">
        <v>0</v>
      </c>
      <c r="N21">
        <v>80</v>
      </c>
    </row>
    <row r="22" spans="1:14" x14ac:dyDescent="0.35">
      <c r="A22">
        <v>1791</v>
      </c>
      <c r="B22">
        <v>545</v>
      </c>
      <c r="C22">
        <v>346</v>
      </c>
      <c r="D22">
        <v>97</v>
      </c>
      <c r="E22">
        <f t="shared" si="0"/>
        <v>2779</v>
      </c>
      <c r="L22">
        <v>12</v>
      </c>
      <c r="N22">
        <v>250</v>
      </c>
    </row>
    <row r="23" spans="1:14" x14ac:dyDescent="0.35">
      <c r="A23">
        <v>1424</v>
      </c>
      <c r="B23">
        <v>92</v>
      </c>
      <c r="C23">
        <v>390</v>
      </c>
      <c r="D23">
        <v>97</v>
      </c>
      <c r="E23">
        <f t="shared" si="0"/>
        <v>2003</v>
      </c>
      <c r="L23">
        <v>13</v>
      </c>
      <c r="N23">
        <v>100</v>
      </c>
    </row>
    <row r="24" spans="1:14" x14ac:dyDescent="0.35">
      <c r="A24">
        <v>792</v>
      </c>
      <c r="B24">
        <v>138</v>
      </c>
      <c r="C24">
        <v>415</v>
      </c>
      <c r="D24">
        <v>93</v>
      </c>
      <c r="E24">
        <f t="shared" si="0"/>
        <v>1438</v>
      </c>
      <c r="L24">
        <v>0</v>
      </c>
      <c r="N24">
        <v>180</v>
      </c>
    </row>
    <row r="25" spans="1:14" x14ac:dyDescent="0.35">
      <c r="A25">
        <v>690</v>
      </c>
      <c r="B25">
        <v>267</v>
      </c>
      <c r="C25">
        <v>413</v>
      </c>
      <c r="D25">
        <v>97</v>
      </c>
      <c r="E25">
        <f t="shared" si="0"/>
        <v>1467</v>
      </c>
      <c r="L25">
        <v>214</v>
      </c>
      <c r="N25">
        <v>350</v>
      </c>
    </row>
    <row r="26" spans="1:14" x14ac:dyDescent="0.35">
      <c r="A26">
        <v>604</v>
      </c>
      <c r="B26">
        <v>521</v>
      </c>
      <c r="C26">
        <v>388</v>
      </c>
      <c r="D26">
        <v>35</v>
      </c>
      <c r="E26">
        <f t="shared" si="0"/>
        <v>1548</v>
      </c>
      <c r="L26">
        <v>274</v>
      </c>
      <c r="N26">
        <v>350</v>
      </c>
    </row>
    <row r="27" spans="1:14" x14ac:dyDescent="0.35">
      <c r="A27">
        <v>497</v>
      </c>
      <c r="B27">
        <v>542</v>
      </c>
      <c r="C27">
        <v>304</v>
      </c>
      <c r="D27">
        <v>102</v>
      </c>
      <c r="E27">
        <f t="shared" si="0"/>
        <v>1445</v>
      </c>
      <c r="L27">
        <v>184</v>
      </c>
      <c r="N27">
        <v>300</v>
      </c>
    </row>
    <row r="28" spans="1:14" x14ac:dyDescent="0.35">
      <c r="A28">
        <v>564</v>
      </c>
      <c r="B28">
        <v>552</v>
      </c>
      <c r="C28">
        <v>394</v>
      </c>
      <c r="D28">
        <v>96</v>
      </c>
      <c r="E28">
        <f t="shared" si="0"/>
        <v>1606</v>
      </c>
      <c r="L28">
        <v>196</v>
      </c>
      <c r="N28">
        <v>350</v>
      </c>
    </row>
    <row r="29" spans="1:14" x14ac:dyDescent="0.35">
      <c r="A29">
        <v>599</v>
      </c>
      <c r="B29">
        <v>517</v>
      </c>
      <c r="C29">
        <v>342</v>
      </c>
      <c r="D29">
        <v>97</v>
      </c>
      <c r="E29">
        <f t="shared" si="0"/>
        <v>1555</v>
      </c>
      <c r="L29">
        <v>68</v>
      </c>
      <c r="N29">
        <v>370</v>
      </c>
    </row>
    <row r="30" spans="1:14" x14ac:dyDescent="0.35">
      <c r="A30">
        <v>1134</v>
      </c>
      <c r="B30">
        <v>660</v>
      </c>
      <c r="C30">
        <v>423</v>
      </c>
      <c r="D30">
        <v>18</v>
      </c>
      <c r="E30">
        <f t="shared" si="0"/>
        <v>2235</v>
      </c>
      <c r="L30">
        <v>268</v>
      </c>
      <c r="N30">
        <v>400</v>
      </c>
    </row>
    <row r="31" spans="1:14" x14ac:dyDescent="0.35">
      <c r="A31">
        <v>1711</v>
      </c>
      <c r="B31">
        <v>711</v>
      </c>
      <c r="C31">
        <v>417</v>
      </c>
      <c r="D31">
        <v>62</v>
      </c>
      <c r="E31">
        <f t="shared" si="0"/>
        <v>2901</v>
      </c>
      <c r="L31">
        <v>39</v>
      </c>
      <c r="N31">
        <v>300</v>
      </c>
    </row>
    <row r="32" spans="1:14" x14ac:dyDescent="0.35">
      <c r="L32">
        <v>0</v>
      </c>
      <c r="N3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Generation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Bhatta</dc:creator>
  <cp:lastModifiedBy>Ashish Bhatta</cp:lastModifiedBy>
  <dcterms:created xsi:type="dcterms:W3CDTF">2025-11-03T06:47:54Z</dcterms:created>
  <dcterms:modified xsi:type="dcterms:W3CDTF">2025-11-03T16:21:47Z</dcterms:modified>
</cp:coreProperties>
</file>