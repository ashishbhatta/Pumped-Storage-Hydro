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mita\Desktop\excel calculations\"/>
    </mc:Choice>
  </mc:AlternateContent>
  <xr:revisionPtr revIDLastSave="0" documentId="13_ncr:1_{AF576C92-F42A-4B00-A337-9C68763E1E66}" xr6:coauthVersionLast="47" xr6:coauthVersionMax="47" xr10:uidLastSave="{00000000-0000-0000-0000-000000000000}"/>
  <bookViews>
    <workbookView xWindow="-108" yWindow="-108" windowWidth="23256" windowHeight="12456" firstSheet="3" activeTab="3" xr2:uid="{A6DE986D-060D-4070-87B7-CA92670472C7}"/>
  </bookViews>
  <sheets>
    <sheet name="old_Lifetime Generation" sheetId="4" state="hidden" r:id="rId1"/>
    <sheet name="Old_Project Lifetime Cost" sheetId="6" state="hidden" r:id="rId2"/>
    <sheet name="LCOE" sheetId="8" state="hidden" r:id="rId3"/>
    <sheet name="LCOE in two senarios" sheetId="9" r:id="rId4"/>
    <sheet name="References" sheetId="10" r:id="rId5"/>
    <sheet name="Sheet1" sheetId="7" state="hidden" r:id="rId6"/>
    <sheet name="Sheet3" sheetId="3" state="hidden" r:id="rId7"/>
    <sheet name="Sheet2" sheetId="5" state="hidden" r:id="rId8"/>
    <sheet name="Pumping" sheetId="1" state="hidden" r:id="rId9"/>
    <sheet name="Generation" sheetId="2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9" l="1"/>
  <c r="I30" i="9" s="1"/>
  <c r="J30" i="9"/>
  <c r="M30" i="9"/>
  <c r="N30" i="9"/>
  <c r="O30" i="9"/>
  <c r="P30" i="9"/>
  <c r="Q30" i="9"/>
  <c r="R30" i="9"/>
  <c r="S30" i="9"/>
  <c r="T30" i="9"/>
  <c r="U30" i="9"/>
  <c r="V30" i="9"/>
  <c r="Y30" i="9"/>
  <c r="Z30" i="9"/>
  <c r="AA30" i="9"/>
  <c r="AB30" i="9"/>
  <c r="AC30" i="9"/>
  <c r="AD30" i="9"/>
  <c r="AE30" i="9"/>
  <c r="AF30" i="9"/>
  <c r="H30" i="9"/>
  <c r="I29" i="9"/>
  <c r="J29" i="9"/>
  <c r="K29" i="9"/>
  <c r="L29" i="9"/>
  <c r="M29" i="9"/>
  <c r="N29" i="9"/>
  <c r="O29" i="9"/>
  <c r="R29" i="9"/>
  <c r="S29" i="9"/>
  <c r="T29" i="9"/>
  <c r="U29" i="9"/>
  <c r="V29" i="9"/>
  <c r="W29" i="9"/>
  <c r="X29" i="9"/>
  <c r="Y29" i="9"/>
  <c r="Z29" i="9"/>
  <c r="AA29" i="9"/>
  <c r="AD29" i="9"/>
  <c r="AE29" i="9"/>
  <c r="AF29" i="9"/>
  <c r="H29" i="9"/>
  <c r="F17" i="9"/>
  <c r="K30" i="9" s="1"/>
  <c r="F3" i="9" a="1"/>
  <c r="F3" i="9" s="1"/>
  <c r="F4" i="9" s="1"/>
  <c r="B3" i="9"/>
  <c r="B5" i="9" s="1"/>
  <c r="J25" i="9" s="1"/>
  <c r="B26" i="6"/>
  <c r="B23" i="6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J20" i="4"/>
  <c r="K20" i="4"/>
  <c r="L20" i="4"/>
  <c r="M20" i="4"/>
  <c r="N20" i="4"/>
  <c r="I20" i="4"/>
  <c r="AD25" i="9" l="1"/>
  <c r="AE25" i="9"/>
  <c r="T25" i="9"/>
  <c r="S25" i="9"/>
  <c r="R25" i="9"/>
  <c r="B13" i="9"/>
  <c r="B14" i="9"/>
  <c r="Q25" i="9"/>
  <c r="I25" i="9"/>
  <c r="AC29" i="9"/>
  <c r="Q29" i="9"/>
  <c r="X30" i="9"/>
  <c r="L30" i="9"/>
  <c r="F20" i="9"/>
  <c r="AB29" i="9"/>
  <c r="P29" i="9"/>
  <c r="W30" i="9"/>
  <c r="AF25" i="9"/>
  <c r="B15" i="9"/>
  <c r="B19" i="9" s="1"/>
  <c r="AC25" i="9"/>
  <c r="U25" i="9"/>
  <c r="AB25" i="9"/>
  <c r="P25" i="9"/>
  <c r="H25" i="9"/>
  <c r="AA25" i="9"/>
  <c r="O25" i="9"/>
  <c r="Z25" i="9"/>
  <c r="N25" i="9"/>
  <c r="Y25" i="9"/>
  <c r="M25" i="9"/>
  <c r="X25" i="9"/>
  <c r="L25" i="9"/>
  <c r="W25" i="9"/>
  <c r="K25" i="9"/>
  <c r="V25" i="9"/>
  <c r="B24" i="9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E50" i="6"/>
  <c r="B34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E47" i="6"/>
  <c r="F45" i="6"/>
  <c r="G45" i="6"/>
  <c r="H45" i="6"/>
  <c r="I45" i="6"/>
  <c r="J45" i="6"/>
  <c r="K45" i="6"/>
  <c r="L45" i="6"/>
  <c r="M45" i="6"/>
  <c r="N45" i="6"/>
  <c r="E45" i="6"/>
  <c r="B28" i="6"/>
  <c r="B31" i="6" s="1"/>
  <c r="B32" i="6" s="1"/>
  <c r="B21" i="6" a="1"/>
  <c r="B21" i="6" s="1"/>
  <c r="B22" i="6" s="1"/>
  <c r="B24" i="6" s="1"/>
  <c r="L49" i="6" s="1"/>
  <c r="D24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D22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D21" i="4"/>
  <c r="B11" i="4"/>
  <c r="B13" i="4" s="1"/>
  <c r="B35" i="6" s="1"/>
  <c r="B36" i="6" s="1"/>
  <c r="B37" i="6" s="1"/>
  <c r="F48" i="6" s="1"/>
  <c r="G48" i="6" s="1"/>
  <c r="B8" i="3"/>
  <c r="B7" i="3"/>
  <c r="B4" i="3"/>
  <c r="F6" i="9" l="1"/>
  <c r="F5" i="9"/>
  <c r="F8" i="9" s="1"/>
  <c r="R27" i="9" s="1"/>
  <c r="R32" i="9" s="1"/>
  <c r="F32" i="9"/>
  <c r="G32" i="9"/>
  <c r="C33" i="9"/>
  <c r="F33" i="9"/>
  <c r="D33" i="9"/>
  <c r="E33" i="9"/>
  <c r="G33" i="9"/>
  <c r="C32" i="9"/>
  <c r="D32" i="9"/>
  <c r="E32" i="9"/>
  <c r="AC27" i="9"/>
  <c r="AC32" i="9" s="1"/>
  <c r="F7" i="9"/>
  <c r="Y28" i="9" s="1"/>
  <c r="Y33" i="9" s="1"/>
  <c r="W27" i="9"/>
  <c r="W32" i="9" s="1"/>
  <c r="K27" i="9"/>
  <c r="K32" i="9" s="1"/>
  <c r="H27" i="9"/>
  <c r="H32" i="9" s="1"/>
  <c r="P27" i="9"/>
  <c r="P32" i="9" s="1"/>
  <c r="S27" i="9"/>
  <c r="S32" i="9" s="1"/>
  <c r="AD27" i="9"/>
  <c r="AD32" i="9" s="1"/>
  <c r="B33" i="9"/>
  <c r="B32" i="9"/>
  <c r="AA27" i="9"/>
  <c r="AA32" i="9" s="1"/>
  <c r="Y27" i="9"/>
  <c r="Y32" i="9" s="1"/>
  <c r="M26" i="9"/>
  <c r="Y26" i="9"/>
  <c r="N26" i="9"/>
  <c r="Z26" i="9"/>
  <c r="C26" i="9"/>
  <c r="O26" i="9"/>
  <c r="B26" i="9"/>
  <c r="AD26" i="9"/>
  <c r="AE26" i="9"/>
  <c r="H26" i="9"/>
  <c r="I26" i="9"/>
  <c r="AA26" i="9"/>
  <c r="F26" i="9"/>
  <c r="S26" i="9"/>
  <c r="X26" i="9"/>
  <c r="D26" i="9"/>
  <c r="P26" i="9"/>
  <c r="AB26" i="9"/>
  <c r="AF26" i="9"/>
  <c r="J26" i="9"/>
  <c r="K26" i="9"/>
  <c r="E26" i="9"/>
  <c r="Q26" i="9"/>
  <c r="AC26" i="9"/>
  <c r="R26" i="9"/>
  <c r="G26" i="9"/>
  <c r="T26" i="9"/>
  <c r="U26" i="9"/>
  <c r="V26" i="9"/>
  <c r="W26" i="9"/>
  <c r="L26" i="9"/>
  <c r="H48" i="6"/>
  <c r="B14" i="4"/>
  <c r="AI49" i="6"/>
  <c r="BE49" i="6"/>
  <c r="AS49" i="6"/>
  <c r="AG49" i="6"/>
  <c r="U49" i="6"/>
  <c r="AE49" i="6"/>
  <c r="BG49" i="6"/>
  <c r="AU49" i="6"/>
  <c r="W49" i="6"/>
  <c r="BF49" i="6"/>
  <c r="AT49" i="6"/>
  <c r="V49" i="6"/>
  <c r="BD49" i="6"/>
  <c r="AR49" i="6"/>
  <c r="AF49" i="6"/>
  <c r="T49" i="6"/>
  <c r="AD49" i="6"/>
  <c r="AC49" i="6"/>
  <c r="AZ49" i="6"/>
  <c r="P49" i="6"/>
  <c r="BK49" i="6"/>
  <c r="AY49" i="6"/>
  <c r="AM49" i="6"/>
  <c r="AA49" i="6"/>
  <c r="O49" i="6"/>
  <c r="BC49" i="6"/>
  <c r="AQ49" i="6"/>
  <c r="S49" i="6"/>
  <c r="BB49" i="6"/>
  <c r="AP49" i="6"/>
  <c r="R49" i="6"/>
  <c r="K49" i="6"/>
  <c r="BA49" i="6"/>
  <c r="AO49" i="6"/>
  <c r="Q49" i="6"/>
  <c r="BL49" i="6"/>
  <c r="AN49" i="6"/>
  <c r="AB49" i="6"/>
  <c r="BJ49" i="6"/>
  <c r="AX49" i="6"/>
  <c r="AL49" i="6"/>
  <c r="Z49" i="6"/>
  <c r="N49" i="6"/>
  <c r="BI49" i="6"/>
  <c r="AW49" i="6"/>
  <c r="AK49" i="6"/>
  <c r="Y49" i="6"/>
  <c r="M49" i="6"/>
  <c r="AH49" i="6"/>
  <c r="BH49" i="6"/>
  <c r="AV49" i="6"/>
  <c r="AJ49" i="6"/>
  <c r="X49" i="6"/>
  <c r="J46" i="6"/>
  <c r="V46" i="6"/>
  <c r="E46" i="6"/>
  <c r="F46" i="6"/>
  <c r="I46" i="6"/>
  <c r="K46" i="6"/>
  <c r="W46" i="6"/>
  <c r="L46" i="6"/>
  <c r="X46" i="6"/>
  <c r="M46" i="6"/>
  <c r="N46" i="6"/>
  <c r="O46" i="6"/>
  <c r="P46" i="6"/>
  <c r="Q46" i="6"/>
  <c r="R46" i="6"/>
  <c r="G46" i="6"/>
  <c r="S46" i="6"/>
  <c r="H46" i="6"/>
  <c r="T46" i="6"/>
  <c r="U46" i="6"/>
  <c r="B29" i="6"/>
  <c r="B30" i="6" s="1"/>
  <c r="N27" i="9" l="1"/>
  <c r="N32" i="9" s="1"/>
  <c r="AB27" i="9"/>
  <c r="AB32" i="9" s="1"/>
  <c r="T27" i="9"/>
  <c r="T32" i="9" s="1"/>
  <c r="X27" i="9"/>
  <c r="X32" i="9" s="1"/>
  <c r="AF27" i="9"/>
  <c r="AF32" i="9" s="1"/>
  <c r="Z27" i="9"/>
  <c r="Z32" i="9" s="1"/>
  <c r="U27" i="9"/>
  <c r="U32" i="9" s="1"/>
  <c r="V27" i="9"/>
  <c r="V32" i="9" s="1"/>
  <c r="L27" i="9"/>
  <c r="L32" i="9" s="1"/>
  <c r="M27" i="9"/>
  <c r="M32" i="9" s="1"/>
  <c r="J27" i="9"/>
  <c r="J32" i="9" s="1"/>
  <c r="Q27" i="9"/>
  <c r="Q32" i="9" s="1"/>
  <c r="I27" i="9"/>
  <c r="I32" i="9" s="1"/>
  <c r="AE27" i="9"/>
  <c r="AE32" i="9" s="1"/>
  <c r="O27" i="9"/>
  <c r="O32" i="9" s="1"/>
  <c r="V35" i="9"/>
  <c r="V36" i="9"/>
  <c r="S35" i="9"/>
  <c r="S36" i="9"/>
  <c r="T36" i="9"/>
  <c r="T35" i="9"/>
  <c r="AA36" i="9"/>
  <c r="AA35" i="9"/>
  <c r="AF36" i="9"/>
  <c r="AF35" i="9"/>
  <c r="R35" i="9"/>
  <c r="R36" i="9"/>
  <c r="L36" i="9"/>
  <c r="L35" i="9"/>
  <c r="AB36" i="9"/>
  <c r="AB35" i="9"/>
  <c r="O36" i="9"/>
  <c r="O35" i="9"/>
  <c r="AE36" i="9"/>
  <c r="AE35" i="9"/>
  <c r="U35" i="9"/>
  <c r="U36" i="9"/>
  <c r="AD36" i="9"/>
  <c r="AD35" i="9"/>
  <c r="J36" i="9"/>
  <c r="J35" i="9"/>
  <c r="M36" i="9"/>
  <c r="M35" i="9"/>
  <c r="P36" i="9"/>
  <c r="P35" i="9"/>
  <c r="I36" i="9"/>
  <c r="I35" i="9"/>
  <c r="C36" i="9"/>
  <c r="C35" i="9"/>
  <c r="E36" i="9"/>
  <c r="E35" i="9"/>
  <c r="Z36" i="9"/>
  <c r="Z35" i="9"/>
  <c r="K36" i="9"/>
  <c r="K35" i="9"/>
  <c r="N36" i="9"/>
  <c r="N35" i="9"/>
  <c r="F36" i="9"/>
  <c r="F35" i="9"/>
  <c r="G36" i="9"/>
  <c r="G35" i="9"/>
  <c r="B36" i="9"/>
  <c r="B35" i="9"/>
  <c r="Y36" i="9"/>
  <c r="Y35" i="9"/>
  <c r="W36" i="9"/>
  <c r="W35" i="9"/>
  <c r="AC36" i="9"/>
  <c r="AC35" i="9"/>
  <c r="D36" i="9"/>
  <c r="D35" i="9"/>
  <c r="Q36" i="9"/>
  <c r="Q35" i="9"/>
  <c r="X36" i="9"/>
  <c r="X35" i="9"/>
  <c r="H36" i="9"/>
  <c r="H35" i="9"/>
  <c r="AA28" i="9"/>
  <c r="AA33" i="9" s="1"/>
  <c r="M28" i="9"/>
  <c r="M33" i="9" s="1"/>
  <c r="U28" i="9"/>
  <c r="U33" i="9" s="1"/>
  <c r="I28" i="9"/>
  <c r="I33" i="9" s="1"/>
  <c r="AE28" i="9"/>
  <c r="AE33" i="9" s="1"/>
  <c r="S28" i="9"/>
  <c r="S33" i="9" s="1"/>
  <c r="X28" i="9"/>
  <c r="X33" i="9" s="1"/>
  <c r="L28" i="9"/>
  <c r="L33" i="9" s="1"/>
  <c r="Q28" i="9"/>
  <c r="Q33" i="9" s="1"/>
  <c r="AF28" i="9"/>
  <c r="AF33" i="9" s="1"/>
  <c r="T28" i="9"/>
  <c r="T33" i="9" s="1"/>
  <c r="V28" i="9"/>
  <c r="V33" i="9" s="1"/>
  <c r="AB28" i="9"/>
  <c r="AB33" i="9" s="1"/>
  <c r="J28" i="9"/>
  <c r="J33" i="9" s="1"/>
  <c r="N28" i="9"/>
  <c r="N33" i="9" s="1"/>
  <c r="P28" i="9"/>
  <c r="P33" i="9" s="1"/>
  <c r="AC28" i="9"/>
  <c r="AC33" i="9" s="1"/>
  <c r="H28" i="9"/>
  <c r="H33" i="9" s="1"/>
  <c r="Z28" i="9"/>
  <c r="Z33" i="9" s="1"/>
  <c r="AD28" i="9"/>
  <c r="AD33" i="9" s="1"/>
  <c r="R28" i="9"/>
  <c r="R33" i="9" s="1"/>
  <c r="K28" i="9"/>
  <c r="K33" i="9" s="1"/>
  <c r="W28" i="9"/>
  <c r="W33" i="9" s="1"/>
  <c r="O28" i="9"/>
  <c r="O33" i="9" s="1"/>
  <c r="I48" i="6"/>
  <c r="E44" i="6"/>
  <c r="E51" i="6" s="1"/>
  <c r="F44" i="6"/>
  <c r="F51" i="6" s="1"/>
  <c r="G44" i="6"/>
  <c r="G51" i="6" s="1"/>
  <c r="H44" i="6"/>
  <c r="H51" i="6" s="1"/>
  <c r="I44" i="6"/>
  <c r="J44" i="6"/>
  <c r="K44" i="6"/>
  <c r="L44" i="6"/>
  <c r="M44" i="6"/>
  <c r="N44" i="6"/>
  <c r="B38" i="9" l="1"/>
  <c r="B40" i="9" s="1"/>
  <c r="E40" i="9" s="1"/>
  <c r="G40" i="9" s="1"/>
  <c r="B39" i="9"/>
  <c r="B43" i="9"/>
  <c r="B42" i="9"/>
  <c r="B44" i="9" s="1"/>
  <c r="E44" i="9" s="1"/>
  <c r="G44" i="9" s="1"/>
  <c r="J48" i="6"/>
  <c r="I51" i="6"/>
  <c r="K48" i="6" l="1"/>
  <c r="J51" i="6"/>
  <c r="L48" i="6" l="1"/>
  <c r="K51" i="6"/>
  <c r="M48" i="6" l="1"/>
  <c r="L51" i="6"/>
  <c r="N48" i="6" l="1"/>
  <c r="M51" i="6"/>
  <c r="O48" i="6" l="1"/>
  <c r="N51" i="6"/>
  <c r="P48" i="6" l="1"/>
  <c r="O51" i="6"/>
  <c r="Q48" i="6" l="1"/>
  <c r="P51" i="6"/>
  <c r="R48" i="6" l="1"/>
  <c r="Q51" i="6"/>
  <c r="S48" i="6" l="1"/>
  <c r="R51" i="6"/>
  <c r="T48" i="6" l="1"/>
  <c r="S51" i="6"/>
  <c r="U48" i="6" l="1"/>
  <c r="T51" i="6"/>
  <c r="V48" i="6" l="1"/>
  <c r="U51" i="6"/>
  <c r="W48" i="6" l="1"/>
  <c r="V51" i="6"/>
  <c r="X48" i="6" l="1"/>
  <c r="W51" i="6"/>
  <c r="Y48" i="6" l="1"/>
  <c r="X51" i="6"/>
  <c r="Z48" i="6" l="1"/>
  <c r="Y51" i="6"/>
  <c r="AA48" i="6" l="1"/>
  <c r="Z51" i="6"/>
  <c r="AB48" i="6" l="1"/>
  <c r="AA51" i="6"/>
  <c r="AC48" i="6" l="1"/>
  <c r="AB51" i="6"/>
  <c r="AD48" i="6" l="1"/>
  <c r="AC51" i="6"/>
  <c r="AE48" i="6" l="1"/>
  <c r="AD51" i="6"/>
  <c r="AF48" i="6" l="1"/>
  <c r="AE51" i="6"/>
  <c r="AG48" i="6" l="1"/>
  <c r="AF51" i="6"/>
  <c r="AH48" i="6" l="1"/>
  <c r="AG51" i="6"/>
  <c r="AI48" i="6" l="1"/>
  <c r="AH51" i="6"/>
  <c r="AJ48" i="6" l="1"/>
  <c r="AI51" i="6"/>
  <c r="AK48" i="6" l="1"/>
  <c r="AJ51" i="6"/>
  <c r="AL48" i="6" l="1"/>
  <c r="AK51" i="6"/>
  <c r="AM48" i="6" l="1"/>
  <c r="AL51" i="6"/>
  <c r="AN48" i="6" l="1"/>
  <c r="AM51" i="6"/>
  <c r="AO48" i="6" l="1"/>
  <c r="AN51" i="6"/>
  <c r="AP48" i="6" l="1"/>
  <c r="AO51" i="6"/>
  <c r="AQ48" i="6" l="1"/>
  <c r="AP51" i="6"/>
  <c r="AR48" i="6" l="1"/>
  <c r="AQ51" i="6"/>
  <c r="AS48" i="6" l="1"/>
  <c r="AR51" i="6"/>
  <c r="AT48" i="6" l="1"/>
  <c r="AS51" i="6"/>
  <c r="AU48" i="6" l="1"/>
  <c r="AT51" i="6"/>
  <c r="AV48" i="6" l="1"/>
  <c r="AU51" i="6"/>
  <c r="AW48" i="6" l="1"/>
  <c r="AV51" i="6"/>
  <c r="AX48" i="6" l="1"/>
  <c r="AW51" i="6"/>
  <c r="AY48" i="6" l="1"/>
  <c r="AX51" i="6"/>
  <c r="AZ48" i="6" l="1"/>
  <c r="AY51" i="6"/>
  <c r="BA48" i="6" l="1"/>
  <c r="AZ51" i="6"/>
  <c r="BB48" i="6" l="1"/>
  <c r="BA51" i="6"/>
  <c r="BC48" i="6" l="1"/>
  <c r="BB51" i="6"/>
  <c r="BD48" i="6" l="1"/>
  <c r="BC51" i="6"/>
  <c r="BE48" i="6" l="1"/>
  <c r="BD51" i="6"/>
  <c r="BF48" i="6" l="1"/>
  <c r="BE51" i="6"/>
  <c r="BG48" i="6" l="1"/>
  <c r="BF51" i="6"/>
  <c r="BH48" i="6" l="1"/>
  <c r="BG51" i="6"/>
  <c r="BI48" i="6" l="1"/>
  <c r="BH51" i="6"/>
  <c r="BJ48" i="6" l="1"/>
  <c r="BI51" i="6"/>
  <c r="BK48" i="6" l="1"/>
  <c r="BJ51" i="6"/>
  <c r="BL48" i="6" l="1"/>
  <c r="BL51" i="6" s="1"/>
  <c r="BK51" i="6"/>
  <c r="E53" i="6" l="1"/>
  <c r="B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<sst xmlns="http://schemas.openxmlformats.org/spreadsheetml/2006/main" count="184" uniqueCount="118">
  <si>
    <t>Lowest 6 hours</t>
  </si>
  <si>
    <t>Average Cost (Rs/MWh)</t>
  </si>
  <si>
    <t>Highest 6 hours</t>
  </si>
  <si>
    <t>Round Trip
 Efficiency (η)</t>
  </si>
  <si>
    <t>Size of PSH</t>
  </si>
  <si>
    <t>MW</t>
  </si>
  <si>
    <t>Pumping Power</t>
  </si>
  <si>
    <t>pumping hour</t>
  </si>
  <si>
    <t xml:space="preserve">Energy Required for Pumping </t>
  </si>
  <si>
    <t>Energy Produced during pumping</t>
  </si>
  <si>
    <t>MWh</t>
  </si>
  <si>
    <t>Discount rate</t>
  </si>
  <si>
    <t>Lifetime</t>
  </si>
  <si>
    <t>years</t>
  </si>
  <si>
    <t>Construction</t>
  </si>
  <si>
    <t>hr</t>
  </si>
  <si>
    <t>days/year</t>
  </si>
  <si>
    <t>Availability Factor</t>
  </si>
  <si>
    <t>Energy production per day (Hd)</t>
  </si>
  <si>
    <t>Forced 
outage rate (FOR)</t>
  </si>
  <si>
    <t>Scheduled 
Maintance (Nd)</t>
  </si>
  <si>
    <t>Annual Energy Generation</t>
  </si>
  <si>
    <t>Output Power capacity</t>
  </si>
  <si>
    <t>Annual Energy Generation (Et)</t>
  </si>
  <si>
    <t>Efficiency (η)</t>
  </si>
  <si>
    <t>Annual Energy Required to pump water (Ep)</t>
  </si>
  <si>
    <t>Discount Factor</t>
  </si>
  <si>
    <t>Total Production</t>
  </si>
  <si>
    <t>Year</t>
  </si>
  <si>
    <t>n</t>
  </si>
  <si>
    <t>Discounted Generation</t>
  </si>
  <si>
    <t>O &amp; M Cost</t>
  </si>
  <si>
    <t>Capital Investment Cost</t>
  </si>
  <si>
    <t>$/MWh</t>
  </si>
  <si>
    <t>source</t>
  </si>
  <si>
    <t>(EIA 2013)</t>
  </si>
  <si>
    <t>Loan from Local Bank</t>
  </si>
  <si>
    <t>Annual Interest Rate</t>
  </si>
  <si>
    <t>grace Period</t>
  </si>
  <si>
    <t>commitment fee</t>
  </si>
  <si>
    <t>Repaid Year</t>
  </si>
  <si>
    <t>Repaid year</t>
  </si>
  <si>
    <t xml:space="preserve">Interest </t>
  </si>
  <si>
    <t>Grace Period</t>
  </si>
  <si>
    <t>Commitment fee</t>
  </si>
  <si>
    <t>$/kW</t>
  </si>
  <si>
    <t>Annual Fixed Cost</t>
  </si>
  <si>
    <t>Variable cost excluding fuels</t>
  </si>
  <si>
    <t>Discount Rate</t>
  </si>
  <si>
    <t>Excalation Rate (Annually)</t>
  </si>
  <si>
    <t>Rs/MWh</t>
  </si>
  <si>
    <t>average of six cheapest energy cost of a IEX</t>
  </si>
  <si>
    <t>Pumping cost in INR</t>
  </si>
  <si>
    <t>Pumping Cost</t>
  </si>
  <si>
    <t>$</t>
  </si>
  <si>
    <t>Annual Pumping Cost</t>
  </si>
  <si>
    <t>year</t>
  </si>
  <si>
    <t>Discounted Cost</t>
  </si>
  <si>
    <t>Capital Investment</t>
  </si>
  <si>
    <t>Plant Size</t>
  </si>
  <si>
    <t>Loan from Local bank</t>
  </si>
  <si>
    <t>Loan (Local)</t>
  </si>
  <si>
    <t>Discounted Cost for Local</t>
  </si>
  <si>
    <t>Loan (Foreign)</t>
  </si>
  <si>
    <t>Discounted Cost for Foreign Loan</t>
  </si>
  <si>
    <t>Total Capital Investment</t>
  </si>
  <si>
    <t>Annual Payment for Bank Loan (Local Bank)</t>
  </si>
  <si>
    <t>Annual Payment for Bank Loan (Foreign Bank)</t>
  </si>
  <si>
    <t>Loan from Foreign bank</t>
  </si>
  <si>
    <t>Loan from Foreign Bank</t>
  </si>
  <si>
    <t>Annual Variable Cost</t>
  </si>
  <si>
    <t>Annual Energy production</t>
  </si>
  <si>
    <t>Annual Variable cost for 1st year</t>
  </si>
  <si>
    <t>Annual Pumping cost</t>
  </si>
  <si>
    <t>Discount factor</t>
  </si>
  <si>
    <t>Total</t>
  </si>
  <si>
    <t>LCOE</t>
  </si>
  <si>
    <t>Capex</t>
  </si>
  <si>
    <t>Opex</t>
  </si>
  <si>
    <t>Size</t>
  </si>
  <si>
    <t xml:space="preserve">CAPEX </t>
  </si>
  <si>
    <t>Total CAPEX t=0</t>
  </si>
  <si>
    <t>OPEX %</t>
  </si>
  <si>
    <t xml:space="preserve">OPEX  </t>
  </si>
  <si>
    <t>yearly</t>
  </si>
  <si>
    <t>Constrution</t>
  </si>
  <si>
    <t>Daily Energy Production</t>
  </si>
  <si>
    <t>hours</t>
  </si>
  <si>
    <t>Cost of energy extration from grid</t>
  </si>
  <si>
    <t>WACC</t>
  </si>
  <si>
    <t>Equity Investment (E)</t>
  </si>
  <si>
    <t>Debt (D)</t>
  </si>
  <si>
    <t>Sum of equity and debt (V)</t>
  </si>
  <si>
    <t>Cost of equity (Re)</t>
  </si>
  <si>
    <t>Cost of debt (Rd)</t>
  </si>
  <si>
    <t>Corporate income Tax (V)</t>
  </si>
  <si>
    <t>Cost of energy extraction fron grid</t>
  </si>
  <si>
    <t>Cost of energy extraction from IEX</t>
  </si>
  <si>
    <t>Pumping (Dry)</t>
  </si>
  <si>
    <t>Pumping Energy</t>
  </si>
  <si>
    <t>Rs/kWh</t>
  </si>
  <si>
    <t>Dry tarif</t>
  </si>
  <si>
    <t>NPR to USD</t>
  </si>
  <si>
    <t>Pumpimg Cost (Dry form Grid</t>
  </si>
  <si>
    <t>Pumping  Cost (Wet) from IEX</t>
  </si>
  <si>
    <t>NUM (Grid)</t>
  </si>
  <si>
    <t>Den (Grid)</t>
  </si>
  <si>
    <t>LCOE from Grid Energy</t>
  </si>
  <si>
    <t>NUM (IEX)</t>
  </si>
  <si>
    <t>Den (IEX)</t>
  </si>
  <si>
    <t>Energy form Grid (Dry)</t>
  </si>
  <si>
    <t>Energy from IEX (Wet)</t>
  </si>
  <si>
    <t>Cost  Grid</t>
  </si>
  <si>
    <t xml:space="preserve">Cost IEX </t>
  </si>
  <si>
    <t>Energy Grid</t>
  </si>
  <si>
    <t>Energy IEX</t>
  </si>
  <si>
    <t>LCOE from IEX</t>
  </si>
  <si>
    <t>of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</si>
</sst>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[$$-409]* #,##0.00_);_([$$-409]* \(#,##0.00\);_([$$-409]* &quot;-&quot;??_);_(@_)"/>
  </numFmts>
  <fonts count="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8"/>
      <color rgb="FF1F1F1F"/>
      <name val="Arial"/>
      <family val="2"/>
    </font>
    <font>
      <sz val="8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9" fontId="0" fillId="0" borderId="0" xfId="1" applyFont="1"/>
    <xf numFmtId="0" fontId="0" fillId="2" borderId="0" xfId="0" applyFill="1" applyAlignment="1">
      <alignment wrapText="1"/>
    </xf>
    <xf numFmtId="9" fontId="0" fillId="2" borderId="0" xfId="1" applyFont="1" applyFill="1"/>
    <xf numFmtId="0" fontId="2" fillId="0" borderId="0" xfId="0" applyFont="1"/>
    <xf numFmtId="0" fontId="2" fillId="0" borderId="2" xfId="0" applyFont="1" applyBorder="1"/>
    <xf numFmtId="0" fontId="0" fillId="0" borderId="2" xfId="0" applyBorder="1"/>
    <xf numFmtId="9" fontId="0" fillId="0" borderId="2" xfId="0" applyNumberFormat="1" applyBorder="1"/>
    <xf numFmtId="10" fontId="0" fillId="0" borderId="2" xfId="0" applyNumberForma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 applyAlignment="1">
      <alignment horizontal="left" indent="2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1" xfId="0" applyNumberFormat="1" applyBorder="1"/>
    <xf numFmtId="0" fontId="3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164" fontId="0" fillId="0" borderId="0" xfId="0" applyNumberFormat="1"/>
    <xf numFmtId="2" fontId="0" fillId="0" borderId="0" xfId="0" applyNumberFormat="1"/>
    <xf numFmtId="8" fontId="0" fillId="0" borderId="0" xfId="0" applyNumberFormat="1"/>
    <xf numFmtId="10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0" fontId="0" fillId="4" borderId="0" xfId="0" applyFill="1"/>
    <xf numFmtId="9" fontId="0" fillId="4" borderId="0" xfId="0" applyNumberFormat="1" applyFill="1"/>
    <xf numFmtId="0" fontId="0" fillId="4" borderId="0" xfId="0" applyFill="1" applyAlignment="1">
      <alignment wrapText="1"/>
    </xf>
    <xf numFmtId="9" fontId="0" fillId="4" borderId="0" xfId="1" applyFont="1" applyFill="1"/>
    <xf numFmtId="0" fontId="0" fillId="5" borderId="0" xfId="0" applyFill="1" applyAlignment="1">
      <alignment wrapText="1"/>
    </xf>
    <xf numFmtId="0" fontId="0" fillId="5" borderId="0" xfId="0" applyFill="1"/>
    <xf numFmtId="9" fontId="0" fillId="5" borderId="0" xfId="0" applyNumberFormat="1" applyFill="1"/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microsoft.com/office/2017/06/relationships/rdSupportingPropertyBag" Target="richData/rdsupporting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350520</xdr:colOff>
      <xdr:row>2</xdr:row>
      <xdr:rowOff>106680</xdr:rowOff>
    </xdr:from>
    <xdr:to>
      <xdr:col>12</xdr:col>
      <xdr:colOff>107531</xdr:colOff>
      <xdr:row>5</xdr:row>
      <xdr:rowOff>249703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3D7EC-7BDC-FAE8-CB55-17362BCAE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5780" y="792480"/>
          <a:ext cx="6096851" cy="1057423"/>
        </a:xfrm>
        <a:prstGeom prst="rect">
          <a:avLst/>
        </a:prstGeom>
      </xdr:spPr>
    </xdr:pic>
    <xdr:clientData/>
  </xdr:twoCellAnchor>
  <xdr:twoCellAnchor editAs="oneCell">
    <xdr:from>
      <xdr:col>5</xdr:col>
      <xdr:colOff>556260</xdr:colOff>
      <xdr:row>5</xdr:row>
      <xdr:rowOff>388620</xdr:rowOff>
    </xdr:from>
    <xdr:to>
      <xdr:col>7</xdr:col>
      <xdr:colOff>343019</xdr:colOff>
      <xdr:row>9</xdr:row>
      <xdr:rowOff>22927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FA1CC-8C2D-D659-9169-3C4D3066E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4260" y="1760220"/>
          <a:ext cx="1371719" cy="777307"/>
        </a:xfrm>
        <a:prstGeom prst="rect">
          <a:avLst/>
        </a:prstGeom>
      </xdr:spPr>
    </xdr:pic>
    <xdr:clientData/>
  </xdr:twoCellAnchor>
  <xdr:twoCellAnchor editAs="oneCell">
    <xdr:from>
      <xdr:col>5</xdr:col>
      <xdr:colOff>281940</xdr:colOff>
      <xdr:row>10</xdr:row>
      <xdr:rowOff>22860</xdr:rowOff>
    </xdr:from>
    <xdr:to>
      <xdr:col>7</xdr:col>
      <xdr:colOff>621299</xdr:colOff>
      <xdr:row>15</xdr:row>
      <xdr:rowOff>32546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9196E9-0C42-6C85-00A1-D361D13F0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9940" y="2766060"/>
          <a:ext cx="1924319" cy="1152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2</xdr:row>
      <xdr:rowOff>45720</xdr:rowOff>
    </xdr:from>
    <xdr:to>
      <xdr:col>8</xdr:col>
      <xdr:colOff>429009</xdr:colOff>
      <xdr:row>7</xdr:row>
      <xdr:rowOff>55406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C600C-62E7-695F-AFC0-190E1F5FE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3140" y="502920"/>
          <a:ext cx="2753109" cy="1152686"/>
        </a:xfrm>
        <a:prstGeom prst="rect">
          <a:avLst/>
        </a:prstGeom>
      </xdr:spPr>
    </xdr:pic>
    <xdr:clientData/>
  </xdr:twoCellAnchor>
  <xdr:twoCellAnchor editAs="oneCell">
    <xdr:from>
      <xdr:col>5</xdr:col>
      <xdr:colOff>563880</xdr:colOff>
      <xdr:row>15</xdr:row>
      <xdr:rowOff>106680</xdr:rowOff>
    </xdr:from>
    <xdr:to>
      <xdr:col>10</xdr:col>
      <xdr:colOff>1107705</xdr:colOff>
      <xdr:row>25</xdr:row>
      <xdr:rowOff>49841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6B30FD-F7BA-9107-9C2F-3103BCE5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9240" y="3535680"/>
          <a:ext cx="6449325" cy="2229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629445</xdr:colOff>
      <xdr:row>0</xdr:row>
      <xdr:rowOff>0</xdr:rowOff>
    </xdr:from>
    <xdr:to>
      <xdr:col>6</xdr:col>
      <xdr:colOff>541021</xdr:colOff>
      <xdr:row>11</xdr:row>
      <xdr:rowOff>201032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346AA-ED7D-071E-FC2E-E7BBC7FF5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405" y="0"/>
          <a:ext cx="3081496" cy="2715632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avcpf2</v>
    <v>268435456</v>
    <v>1</v>
    <v>Powered by Refinitiv</v>
    <v>0</v>
    <v>INR/USD</v>
    <v>2</v>
    <v>3</v>
    <v>Finance</v>
    <v>4</v>
    <v>1.1939999999999999E-2</v>
    <v>1.1140000000000001E-2</v>
    <v>-1.11E-4</v>
    <v>-9.8490000000000001E-3</v>
    <v>USD</v>
    <v>INR</v>
    <v>Currency Pair</v>
    <v>45982.993090277778</v>
    <v>Indian Rupee/US Dollar FX Cross Rate</v>
    <v>1.1270000000000001E-2</v>
    <v>1.116E-2</v>
    <v>INRUSD</v>
    <v>INR/USD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Instrument type" t="s"/>
    <k n="Last trade time"/>
    <k n="Name" t="s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4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2</v>
      <v>2</v>
      <v>3</v>
      <v>2</v>
      <v>2</v>
      <v>2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ame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</dxfs>
  <richProperties>
    <rPr n="IsTitleField" t="b"/>
    <rPr n="NumberFormat" t="s"/>
  </richProperties>
  <richStyles>
    <rSty>
      <rpv i="0">1</rpv>
    </rSty>
    <rSty dxfid="1">
      <rpv i="1">_([$$-en-US]* #,##0.00_);_([$$-en-US]* (#,##0.00);_([$$-en-US]* "-"??_);_(@_)</rpv>
    </rSty>
    <rSty dxfid="3"/>
    <rSty dxfid="2"/>
    <rSty dxfid="0">
      <rpv i="1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57F9-46F9-4AE1-A66A-CA14116961BE}">
  <dimension ref="A1:BK24"/>
  <sheetViews>
    <sheetView zoomScale="96" workbookViewId="0">
      <selection activeCell="B14" sqref="B14"/>
    </sheetView>
  </sheetViews>
  <sheetFormatPr defaultRowHeight="18" x14ac:dyDescent="0.35"/>
  <cols>
    <col min="1" max="1" width="34.25" bestFit="1" customWidth="1"/>
    <col min="3" max="3" width="11.6640625" customWidth="1"/>
    <col min="4" max="4" width="11.75" bestFit="1" customWidth="1"/>
  </cols>
  <sheetData>
    <row r="1" spans="1:3" x14ac:dyDescent="0.35">
      <c r="A1" s="1" t="s">
        <v>11</v>
      </c>
      <c r="B1" s="2">
        <v>0.08</v>
      </c>
    </row>
    <row r="2" spans="1:3" x14ac:dyDescent="0.35">
      <c r="A2" t="s">
        <v>12</v>
      </c>
      <c r="B2">
        <v>60</v>
      </c>
      <c r="C2" t="s">
        <v>13</v>
      </c>
    </row>
    <row r="3" spans="1:3" x14ac:dyDescent="0.35">
      <c r="A3" t="s">
        <v>14</v>
      </c>
      <c r="B3">
        <v>5</v>
      </c>
      <c r="C3" t="s">
        <v>13</v>
      </c>
    </row>
    <row r="4" spans="1:3" x14ac:dyDescent="0.35">
      <c r="A4" s="1" t="s">
        <v>18</v>
      </c>
      <c r="B4">
        <v>6</v>
      </c>
      <c r="C4" t="s">
        <v>15</v>
      </c>
    </row>
    <row r="5" spans="1:3" ht="36" x14ac:dyDescent="0.35">
      <c r="A5" s="1" t="s">
        <v>19</v>
      </c>
      <c r="B5" s="3">
        <v>0.05</v>
      </c>
    </row>
    <row r="6" spans="1:3" ht="36" x14ac:dyDescent="0.35">
      <c r="A6" s="1" t="s">
        <v>20</v>
      </c>
      <c r="B6">
        <v>20</v>
      </c>
      <c r="C6" t="s">
        <v>16</v>
      </c>
    </row>
    <row r="7" spans="1:3" x14ac:dyDescent="0.35">
      <c r="A7" s="1" t="s">
        <v>22</v>
      </c>
      <c r="B7">
        <v>100</v>
      </c>
      <c r="C7" t="s">
        <v>5</v>
      </c>
    </row>
    <row r="8" spans="1:3" x14ac:dyDescent="0.35">
      <c r="A8" s="1" t="s">
        <v>24</v>
      </c>
      <c r="B8" s="2">
        <v>0.75</v>
      </c>
    </row>
    <row r="9" spans="1:3" x14ac:dyDescent="0.35">
      <c r="A9" s="1"/>
    </row>
    <row r="11" spans="1:3" x14ac:dyDescent="0.35">
      <c r="A11" s="4" t="s">
        <v>17</v>
      </c>
      <c r="B11" s="5">
        <f>((B4*(1-B5)*365)-(B6*24))/8760</f>
        <v>0.18270547945205473</v>
      </c>
    </row>
    <row r="13" spans="1:3" x14ac:dyDescent="0.35">
      <c r="A13" t="s">
        <v>23</v>
      </c>
      <c r="B13">
        <f>B7*B11*8760</f>
        <v>160049.99999999994</v>
      </c>
      <c r="C13" t="s">
        <v>10</v>
      </c>
    </row>
    <row r="14" spans="1:3" x14ac:dyDescent="0.35">
      <c r="A14" t="s">
        <v>25</v>
      </c>
      <c r="B14">
        <f>B13/B8</f>
        <v>213399.99999999991</v>
      </c>
      <c r="C14" t="s">
        <v>10</v>
      </c>
    </row>
    <row r="18" spans="2:63" x14ac:dyDescent="0.35">
      <c r="B18" t="s">
        <v>29</v>
      </c>
      <c r="D18">
        <v>0</v>
      </c>
      <c r="E18">
        <v>1</v>
      </c>
      <c r="F18">
        <v>2</v>
      </c>
      <c r="G18">
        <v>3</v>
      </c>
      <c r="H18">
        <v>4</v>
      </c>
      <c r="I18">
        <v>5</v>
      </c>
      <c r="J18">
        <v>6</v>
      </c>
      <c r="K18">
        <v>7</v>
      </c>
      <c r="L18">
        <v>8</v>
      </c>
      <c r="M18">
        <v>9</v>
      </c>
      <c r="N18">
        <v>10</v>
      </c>
      <c r="O18">
        <v>11</v>
      </c>
      <c r="P18">
        <v>12</v>
      </c>
      <c r="Q18">
        <v>13</v>
      </c>
      <c r="R18">
        <v>14</v>
      </c>
      <c r="S18">
        <v>15</v>
      </c>
      <c r="T18">
        <v>16</v>
      </c>
      <c r="U18">
        <v>17</v>
      </c>
      <c r="V18">
        <v>18</v>
      </c>
      <c r="W18">
        <v>19</v>
      </c>
      <c r="X18">
        <v>20</v>
      </c>
      <c r="Y18">
        <v>21</v>
      </c>
      <c r="Z18">
        <v>22</v>
      </c>
      <c r="AA18">
        <v>23</v>
      </c>
      <c r="AB18">
        <v>24</v>
      </c>
      <c r="AC18">
        <v>25</v>
      </c>
      <c r="AD18">
        <v>26</v>
      </c>
      <c r="AE18">
        <v>27</v>
      </c>
      <c r="AF18">
        <v>28</v>
      </c>
      <c r="AG18">
        <v>29</v>
      </c>
      <c r="AH18">
        <v>30</v>
      </c>
      <c r="AI18">
        <v>31</v>
      </c>
      <c r="AJ18">
        <v>32</v>
      </c>
      <c r="AK18">
        <v>33</v>
      </c>
      <c r="AL18">
        <v>34</v>
      </c>
      <c r="AM18">
        <v>35</v>
      </c>
      <c r="AN18">
        <v>36</v>
      </c>
      <c r="AO18">
        <v>37</v>
      </c>
      <c r="AP18">
        <v>38</v>
      </c>
      <c r="AQ18">
        <v>39</v>
      </c>
      <c r="AR18">
        <v>40</v>
      </c>
      <c r="AS18">
        <v>41</v>
      </c>
      <c r="AT18">
        <v>42</v>
      </c>
      <c r="AU18">
        <v>43</v>
      </c>
      <c r="AV18">
        <v>44</v>
      </c>
      <c r="AW18">
        <v>45</v>
      </c>
      <c r="AX18">
        <v>46</v>
      </c>
      <c r="AY18">
        <v>47</v>
      </c>
      <c r="AZ18">
        <v>48</v>
      </c>
      <c r="BA18">
        <v>49</v>
      </c>
      <c r="BB18">
        <v>50</v>
      </c>
      <c r="BC18">
        <v>51</v>
      </c>
      <c r="BD18">
        <v>52</v>
      </c>
      <c r="BE18">
        <v>53</v>
      </c>
      <c r="BF18">
        <v>54</v>
      </c>
      <c r="BG18">
        <v>55</v>
      </c>
      <c r="BH18">
        <v>56</v>
      </c>
      <c r="BI18">
        <v>57</v>
      </c>
      <c r="BJ18">
        <v>58</v>
      </c>
      <c r="BK18">
        <v>59</v>
      </c>
    </row>
    <row r="19" spans="2:63" x14ac:dyDescent="0.35">
      <c r="B19" t="s">
        <v>28</v>
      </c>
      <c r="D19">
        <v>2025</v>
      </c>
      <c r="E19">
        <v>2026</v>
      </c>
      <c r="F19">
        <v>2027</v>
      </c>
      <c r="G19">
        <v>2028</v>
      </c>
      <c r="H19">
        <v>2029</v>
      </c>
      <c r="I19">
        <v>2030</v>
      </c>
      <c r="J19">
        <v>2031</v>
      </c>
      <c r="K19">
        <v>2032</v>
      </c>
      <c r="L19">
        <v>2033</v>
      </c>
      <c r="M19">
        <v>2034</v>
      </c>
      <c r="N19">
        <v>2035</v>
      </c>
      <c r="O19">
        <v>2036</v>
      </c>
      <c r="P19">
        <v>2037</v>
      </c>
      <c r="Q19">
        <v>2038</v>
      </c>
      <c r="R19">
        <v>2039</v>
      </c>
      <c r="S19">
        <v>2040</v>
      </c>
      <c r="T19">
        <v>2041</v>
      </c>
      <c r="U19">
        <v>2042</v>
      </c>
      <c r="V19">
        <v>2043</v>
      </c>
      <c r="W19">
        <v>2044</v>
      </c>
      <c r="X19">
        <v>2045</v>
      </c>
      <c r="Y19">
        <v>2046</v>
      </c>
      <c r="Z19">
        <v>2047</v>
      </c>
      <c r="AA19">
        <v>2048</v>
      </c>
      <c r="AB19">
        <v>2049</v>
      </c>
      <c r="AC19">
        <v>2050</v>
      </c>
      <c r="AD19">
        <v>2051</v>
      </c>
      <c r="AE19">
        <v>2052</v>
      </c>
      <c r="AF19">
        <v>2053</v>
      </c>
      <c r="AG19">
        <v>2054</v>
      </c>
      <c r="AH19">
        <v>2055</v>
      </c>
      <c r="AI19">
        <v>2056</v>
      </c>
      <c r="AJ19">
        <v>2057</v>
      </c>
      <c r="AK19">
        <v>2058</v>
      </c>
      <c r="AL19">
        <v>2059</v>
      </c>
      <c r="AM19">
        <v>2060</v>
      </c>
      <c r="AN19">
        <v>2061</v>
      </c>
      <c r="AO19">
        <v>2062</v>
      </c>
      <c r="AP19">
        <v>2063</v>
      </c>
      <c r="AQ19">
        <v>2064</v>
      </c>
      <c r="AR19">
        <v>2065</v>
      </c>
      <c r="AS19">
        <v>2066</v>
      </c>
      <c r="AT19">
        <v>2067</v>
      </c>
      <c r="AU19">
        <v>2068</v>
      </c>
      <c r="AV19">
        <v>2069</v>
      </c>
      <c r="AW19">
        <v>2070</v>
      </c>
      <c r="AX19">
        <v>2071</v>
      </c>
      <c r="AY19">
        <v>2072</v>
      </c>
      <c r="AZ19">
        <v>2073</v>
      </c>
      <c r="BA19">
        <v>2074</v>
      </c>
      <c r="BB19">
        <v>2075</v>
      </c>
      <c r="BC19">
        <v>2076</v>
      </c>
      <c r="BD19">
        <v>2077</v>
      </c>
      <c r="BE19">
        <v>2078</v>
      </c>
      <c r="BF19">
        <v>2079</v>
      </c>
      <c r="BG19">
        <v>2080</v>
      </c>
      <c r="BH19">
        <v>2081</v>
      </c>
      <c r="BI19">
        <v>2082</v>
      </c>
      <c r="BJ19">
        <v>2083</v>
      </c>
      <c r="BK19">
        <v>2084</v>
      </c>
    </row>
    <row r="20" spans="2:63" x14ac:dyDescent="0.35">
      <c r="B20" t="s">
        <v>21</v>
      </c>
      <c r="D20">
        <v>0</v>
      </c>
      <c r="E20">
        <v>0</v>
      </c>
      <c r="F20">
        <v>0</v>
      </c>
      <c r="G20">
        <v>0</v>
      </c>
      <c r="H20">
        <v>0</v>
      </c>
      <c r="I20">
        <f>$B$13</f>
        <v>160049.99999999994</v>
      </c>
      <c r="J20">
        <f t="shared" ref="J20:BK20" si="0">$B$13</f>
        <v>160049.99999999994</v>
      </c>
      <c r="K20">
        <f t="shared" si="0"/>
        <v>160049.99999999994</v>
      </c>
      <c r="L20">
        <f t="shared" si="0"/>
        <v>160049.99999999994</v>
      </c>
      <c r="M20">
        <f t="shared" si="0"/>
        <v>160049.99999999994</v>
      </c>
      <c r="N20">
        <f t="shared" si="0"/>
        <v>160049.99999999994</v>
      </c>
      <c r="O20">
        <f t="shared" si="0"/>
        <v>160049.99999999994</v>
      </c>
      <c r="P20">
        <f t="shared" si="0"/>
        <v>160049.99999999994</v>
      </c>
      <c r="Q20">
        <f t="shared" si="0"/>
        <v>160049.99999999994</v>
      </c>
      <c r="R20">
        <f t="shared" si="0"/>
        <v>160049.99999999994</v>
      </c>
      <c r="S20">
        <f t="shared" si="0"/>
        <v>160049.99999999994</v>
      </c>
      <c r="T20">
        <f t="shared" si="0"/>
        <v>160049.99999999994</v>
      </c>
      <c r="U20">
        <f t="shared" si="0"/>
        <v>160049.99999999994</v>
      </c>
      <c r="V20">
        <f t="shared" si="0"/>
        <v>160049.99999999994</v>
      </c>
      <c r="W20">
        <f t="shared" si="0"/>
        <v>160049.99999999994</v>
      </c>
      <c r="X20">
        <f t="shared" si="0"/>
        <v>160049.99999999994</v>
      </c>
      <c r="Y20">
        <f t="shared" si="0"/>
        <v>160049.99999999994</v>
      </c>
      <c r="Z20">
        <f t="shared" si="0"/>
        <v>160049.99999999994</v>
      </c>
      <c r="AA20">
        <f t="shared" si="0"/>
        <v>160049.99999999994</v>
      </c>
      <c r="AB20">
        <f t="shared" si="0"/>
        <v>160049.99999999994</v>
      </c>
      <c r="AC20">
        <f t="shared" si="0"/>
        <v>160049.99999999994</v>
      </c>
      <c r="AD20">
        <f t="shared" si="0"/>
        <v>160049.99999999994</v>
      </c>
      <c r="AE20">
        <f t="shared" si="0"/>
        <v>160049.99999999994</v>
      </c>
      <c r="AF20">
        <f t="shared" si="0"/>
        <v>160049.99999999994</v>
      </c>
      <c r="AG20">
        <f t="shared" si="0"/>
        <v>160049.99999999994</v>
      </c>
      <c r="AH20">
        <f t="shared" si="0"/>
        <v>160049.99999999994</v>
      </c>
      <c r="AI20">
        <f t="shared" si="0"/>
        <v>160049.99999999994</v>
      </c>
      <c r="AJ20">
        <f t="shared" si="0"/>
        <v>160049.99999999994</v>
      </c>
      <c r="AK20">
        <f t="shared" si="0"/>
        <v>160049.99999999994</v>
      </c>
      <c r="AL20">
        <f t="shared" si="0"/>
        <v>160049.99999999994</v>
      </c>
      <c r="AM20">
        <f t="shared" si="0"/>
        <v>160049.99999999994</v>
      </c>
      <c r="AN20">
        <f t="shared" si="0"/>
        <v>160049.99999999994</v>
      </c>
      <c r="AO20">
        <f t="shared" si="0"/>
        <v>160049.99999999994</v>
      </c>
      <c r="AP20">
        <f t="shared" si="0"/>
        <v>160049.99999999994</v>
      </c>
      <c r="AQ20">
        <f t="shared" si="0"/>
        <v>160049.99999999994</v>
      </c>
      <c r="AR20">
        <f t="shared" si="0"/>
        <v>160049.99999999994</v>
      </c>
      <c r="AS20">
        <f t="shared" si="0"/>
        <v>160049.99999999994</v>
      </c>
      <c r="AT20">
        <f t="shared" si="0"/>
        <v>160049.99999999994</v>
      </c>
      <c r="AU20">
        <f t="shared" si="0"/>
        <v>160049.99999999994</v>
      </c>
      <c r="AV20">
        <f t="shared" si="0"/>
        <v>160049.99999999994</v>
      </c>
      <c r="AW20">
        <f t="shared" si="0"/>
        <v>160049.99999999994</v>
      </c>
      <c r="AX20">
        <f t="shared" si="0"/>
        <v>160049.99999999994</v>
      </c>
      <c r="AY20">
        <f t="shared" si="0"/>
        <v>160049.99999999994</v>
      </c>
      <c r="AZ20">
        <f t="shared" si="0"/>
        <v>160049.99999999994</v>
      </c>
      <c r="BA20">
        <f t="shared" si="0"/>
        <v>160049.99999999994</v>
      </c>
      <c r="BB20">
        <f t="shared" si="0"/>
        <v>160049.99999999994</v>
      </c>
      <c r="BC20">
        <f t="shared" si="0"/>
        <v>160049.99999999994</v>
      </c>
      <c r="BD20">
        <f t="shared" si="0"/>
        <v>160049.99999999994</v>
      </c>
      <c r="BE20">
        <f t="shared" si="0"/>
        <v>160049.99999999994</v>
      </c>
      <c r="BF20">
        <f t="shared" si="0"/>
        <v>160049.99999999994</v>
      </c>
      <c r="BG20">
        <f t="shared" si="0"/>
        <v>160049.99999999994</v>
      </c>
      <c r="BH20">
        <f t="shared" si="0"/>
        <v>160049.99999999994</v>
      </c>
      <c r="BI20">
        <f t="shared" si="0"/>
        <v>160049.99999999994</v>
      </c>
      <c r="BJ20">
        <f t="shared" si="0"/>
        <v>160049.99999999994</v>
      </c>
      <c r="BK20">
        <f t="shared" si="0"/>
        <v>160049.99999999994</v>
      </c>
    </row>
    <row r="21" spans="2:63" x14ac:dyDescent="0.35">
      <c r="B21" t="s">
        <v>26</v>
      </c>
      <c r="D21">
        <f>1/(1+$B$1)^D18</f>
        <v>1</v>
      </c>
      <c r="E21">
        <f t="shared" ref="E21:BK21" si="1">1/(1+$B$1)^E18</f>
        <v>0.92592592592592582</v>
      </c>
      <c r="F21">
        <f t="shared" si="1"/>
        <v>0.85733882030178321</v>
      </c>
      <c r="G21">
        <f t="shared" si="1"/>
        <v>0.79383224102016958</v>
      </c>
      <c r="H21">
        <f t="shared" si="1"/>
        <v>0.73502985279645328</v>
      </c>
      <c r="I21">
        <f t="shared" si="1"/>
        <v>0.68058319703375303</v>
      </c>
      <c r="J21">
        <f t="shared" si="1"/>
        <v>0.63016962688310452</v>
      </c>
      <c r="K21">
        <f t="shared" si="1"/>
        <v>0.58349039526213387</v>
      </c>
      <c r="L21">
        <f t="shared" si="1"/>
        <v>0.54026888450197574</v>
      </c>
      <c r="M21">
        <f t="shared" si="1"/>
        <v>0.50024896713145905</v>
      </c>
      <c r="N21">
        <f t="shared" si="1"/>
        <v>0.46319348808468425</v>
      </c>
      <c r="O21">
        <f t="shared" si="1"/>
        <v>0.42888285933767062</v>
      </c>
      <c r="P21">
        <f t="shared" si="1"/>
        <v>0.39711375864599124</v>
      </c>
      <c r="Q21">
        <f t="shared" si="1"/>
        <v>0.36769792467221413</v>
      </c>
      <c r="R21">
        <f t="shared" si="1"/>
        <v>0.34046104136316119</v>
      </c>
      <c r="S21">
        <f t="shared" si="1"/>
        <v>0.31524170496588994</v>
      </c>
      <c r="T21">
        <f t="shared" si="1"/>
        <v>0.29189046756100923</v>
      </c>
      <c r="U21">
        <f t="shared" si="1"/>
        <v>0.27026895144537894</v>
      </c>
      <c r="V21">
        <f t="shared" si="1"/>
        <v>0.25024902911609154</v>
      </c>
      <c r="W21">
        <f t="shared" si="1"/>
        <v>0.23171206399638106</v>
      </c>
      <c r="X21">
        <f t="shared" si="1"/>
        <v>0.21454820740405653</v>
      </c>
      <c r="Y21">
        <f t="shared" si="1"/>
        <v>0.19865574759634863</v>
      </c>
      <c r="Z21">
        <f t="shared" si="1"/>
        <v>0.18394050703365611</v>
      </c>
      <c r="AA21">
        <f t="shared" si="1"/>
        <v>0.17031528429042234</v>
      </c>
      <c r="AB21">
        <f t="shared" si="1"/>
        <v>0.1576993373059466</v>
      </c>
      <c r="AC21">
        <f t="shared" si="1"/>
        <v>0.1460179049129135</v>
      </c>
      <c r="AD21">
        <f t="shared" si="1"/>
        <v>0.13520176380825324</v>
      </c>
      <c r="AE21">
        <f t="shared" si="1"/>
        <v>0.12518681834097523</v>
      </c>
      <c r="AF21">
        <f t="shared" si="1"/>
        <v>0.11591372068608817</v>
      </c>
      <c r="AG21">
        <f t="shared" si="1"/>
        <v>0.10732751915378534</v>
      </c>
      <c r="AH21">
        <f t="shared" si="1"/>
        <v>9.9377332549801231E-2</v>
      </c>
      <c r="AI21">
        <f t="shared" si="1"/>
        <v>9.2016048657223348E-2</v>
      </c>
      <c r="AJ21">
        <f t="shared" si="1"/>
        <v>8.5200045052984577E-2</v>
      </c>
      <c r="AK21">
        <f t="shared" si="1"/>
        <v>7.8888930604615354E-2</v>
      </c>
      <c r="AL21">
        <f t="shared" si="1"/>
        <v>7.3045306115384581E-2</v>
      </c>
      <c r="AM21">
        <f t="shared" si="1"/>
        <v>6.7634542699430159E-2</v>
      </c>
      <c r="AN21">
        <f t="shared" si="1"/>
        <v>6.2624576573546434E-2</v>
      </c>
      <c r="AO21">
        <f t="shared" si="1"/>
        <v>5.7985719049580033E-2</v>
      </c>
      <c r="AP21">
        <f t="shared" si="1"/>
        <v>5.3690480601462989E-2</v>
      </c>
      <c r="AQ21">
        <f t="shared" si="1"/>
        <v>4.9713407964317585E-2</v>
      </c>
      <c r="AR21">
        <f t="shared" si="1"/>
        <v>4.6030933300294057E-2</v>
      </c>
      <c r="AS21">
        <f t="shared" si="1"/>
        <v>4.2621234537309309E-2</v>
      </c>
      <c r="AT21">
        <f t="shared" si="1"/>
        <v>3.9464106053064177E-2</v>
      </c>
      <c r="AU21">
        <f t="shared" si="1"/>
        <v>3.6540838938022388E-2</v>
      </c>
      <c r="AV21">
        <f t="shared" si="1"/>
        <v>3.3834110127798502E-2</v>
      </c>
      <c r="AW21">
        <f t="shared" si="1"/>
        <v>3.1327879747961578E-2</v>
      </c>
      <c r="AX21">
        <f t="shared" si="1"/>
        <v>2.900729606292738E-2</v>
      </c>
      <c r="AY21">
        <f t="shared" si="1"/>
        <v>2.6858607465673496E-2</v>
      </c>
      <c r="AZ21">
        <f t="shared" si="1"/>
        <v>2.4869080986734723E-2</v>
      </c>
      <c r="BA21">
        <f t="shared" si="1"/>
        <v>2.3026926839569185E-2</v>
      </c>
      <c r="BB21">
        <f t="shared" si="1"/>
        <v>2.1321228555156651E-2</v>
      </c>
      <c r="BC21">
        <f t="shared" si="1"/>
        <v>1.9741878291811711E-2</v>
      </c>
      <c r="BD21">
        <f t="shared" si="1"/>
        <v>1.8279516936862698E-2</v>
      </c>
      <c r="BE21">
        <f t="shared" si="1"/>
        <v>1.6925478645243238E-2</v>
      </c>
      <c r="BF21">
        <f t="shared" si="1"/>
        <v>1.5671739486336329E-2</v>
      </c>
      <c r="BG21">
        <f t="shared" si="1"/>
        <v>1.4510869894755859E-2</v>
      </c>
      <c r="BH21">
        <f t="shared" si="1"/>
        <v>1.3435990643292463E-2</v>
      </c>
      <c r="BI21">
        <f t="shared" si="1"/>
        <v>1.244073207712265E-2</v>
      </c>
      <c r="BJ21">
        <f t="shared" si="1"/>
        <v>1.1519196367706156E-2</v>
      </c>
      <c r="BK21">
        <f t="shared" si="1"/>
        <v>1.0665922562690886E-2</v>
      </c>
    </row>
    <row r="22" spans="2:63" x14ac:dyDescent="0.35">
      <c r="B22" t="s">
        <v>30</v>
      </c>
      <c r="D22">
        <f>D20/D21</f>
        <v>0</v>
      </c>
      <c r="E22">
        <f t="shared" ref="E22:BK22" si="2">E20/E21</f>
        <v>0</v>
      </c>
      <c r="F22">
        <f t="shared" si="2"/>
        <v>0</v>
      </c>
      <c r="G22">
        <f t="shared" si="2"/>
        <v>0</v>
      </c>
      <c r="H22">
        <f t="shared" si="2"/>
        <v>0</v>
      </c>
      <c r="I22">
        <f t="shared" si="2"/>
        <v>235165.95869183997</v>
      </c>
      <c r="J22">
        <f t="shared" si="2"/>
        <v>253979.23538718722</v>
      </c>
      <c r="K22">
        <f t="shared" si="2"/>
        <v>274297.57421816216</v>
      </c>
      <c r="L22">
        <f t="shared" si="2"/>
        <v>296241.38015561516</v>
      </c>
      <c r="M22">
        <f t="shared" si="2"/>
        <v>319940.69056806434</v>
      </c>
      <c r="N22">
        <f t="shared" si="2"/>
        <v>345535.94581350958</v>
      </c>
      <c r="O22">
        <f t="shared" si="2"/>
        <v>373178.82147859031</v>
      </c>
      <c r="P22">
        <f t="shared" si="2"/>
        <v>403033.12719687761</v>
      </c>
      <c r="Q22">
        <f t="shared" si="2"/>
        <v>435275.77737262781</v>
      </c>
      <c r="R22">
        <f t="shared" si="2"/>
        <v>470097.83956243808</v>
      </c>
      <c r="S22">
        <f t="shared" si="2"/>
        <v>507705.66672743321</v>
      </c>
      <c r="T22">
        <f t="shared" si="2"/>
        <v>548322.12006562785</v>
      </c>
      <c r="U22">
        <f t="shared" si="2"/>
        <v>592187.88967087795</v>
      </c>
      <c r="V22">
        <f t="shared" si="2"/>
        <v>639562.92084454838</v>
      </c>
      <c r="W22">
        <f t="shared" si="2"/>
        <v>690727.95451211231</v>
      </c>
      <c r="X22">
        <f t="shared" si="2"/>
        <v>745986.19087308121</v>
      </c>
      <c r="Y22">
        <f t="shared" si="2"/>
        <v>805665.08614292776</v>
      </c>
      <c r="Z22">
        <f t="shared" si="2"/>
        <v>870118.29303436214</v>
      </c>
      <c r="AA22">
        <f t="shared" si="2"/>
        <v>939727.75647711102</v>
      </c>
      <c r="AB22">
        <f t="shared" si="2"/>
        <v>1014905.97699528</v>
      </c>
      <c r="AC22">
        <f t="shared" si="2"/>
        <v>1096098.4551549025</v>
      </c>
      <c r="AD22">
        <f t="shared" si="2"/>
        <v>1183786.3315672947</v>
      </c>
      <c r="AE22">
        <f t="shared" si="2"/>
        <v>1278489.2380926784</v>
      </c>
      <c r="AF22">
        <f t="shared" si="2"/>
        <v>1380768.3771400927</v>
      </c>
      <c r="AG22">
        <f t="shared" si="2"/>
        <v>1491229.8473113</v>
      </c>
      <c r="AH22">
        <f t="shared" si="2"/>
        <v>1610528.2350962041</v>
      </c>
      <c r="AI22">
        <f t="shared" si="2"/>
        <v>1739370.4939039007</v>
      </c>
      <c r="AJ22">
        <f t="shared" si="2"/>
        <v>1878520.1334162129</v>
      </c>
      <c r="AK22">
        <f t="shared" si="2"/>
        <v>2028801.7440895098</v>
      </c>
      <c r="AL22">
        <f t="shared" si="2"/>
        <v>2191105.883616671</v>
      </c>
      <c r="AM22">
        <f t="shared" si="2"/>
        <v>2366394.3543060049</v>
      </c>
      <c r="AN22">
        <f t="shared" si="2"/>
        <v>2555705.9026504857</v>
      </c>
      <c r="AO22">
        <f t="shared" si="2"/>
        <v>2760162.3748625242</v>
      </c>
      <c r="AP22">
        <f t="shared" si="2"/>
        <v>2980975.3648515265</v>
      </c>
      <c r="AQ22">
        <f t="shared" si="2"/>
        <v>3219453.3940396486</v>
      </c>
      <c r="AR22">
        <f t="shared" si="2"/>
        <v>3477009.6655628206</v>
      </c>
      <c r="AS22">
        <f t="shared" si="2"/>
        <v>3755170.4388078465</v>
      </c>
      <c r="AT22">
        <f t="shared" si="2"/>
        <v>4055584.0739124739</v>
      </c>
      <c r="AU22">
        <f t="shared" si="2"/>
        <v>4380030.7998254718</v>
      </c>
      <c r="AV22">
        <f t="shared" si="2"/>
        <v>4730433.2638115101</v>
      </c>
      <c r="AW22">
        <f t="shared" si="2"/>
        <v>5108867.9249164304</v>
      </c>
      <c r="AX22">
        <f t="shared" si="2"/>
        <v>5517577.3589097466</v>
      </c>
      <c r="AY22">
        <f t="shared" si="2"/>
        <v>5958983.547622527</v>
      </c>
      <c r="AZ22">
        <f t="shared" si="2"/>
        <v>6435702.231432328</v>
      </c>
      <c r="BA22">
        <f t="shared" si="2"/>
        <v>6950558.4099469157</v>
      </c>
      <c r="BB22">
        <f t="shared" si="2"/>
        <v>7506603.0827426696</v>
      </c>
      <c r="BC22">
        <f t="shared" si="2"/>
        <v>8107131.3293620842</v>
      </c>
      <c r="BD22">
        <f t="shared" si="2"/>
        <v>8755701.8357110489</v>
      </c>
      <c r="BE22">
        <f t="shared" si="2"/>
        <v>9456157.9825679343</v>
      </c>
      <c r="BF22">
        <f t="shared" si="2"/>
        <v>10212650.621173371</v>
      </c>
      <c r="BG22">
        <f t="shared" si="2"/>
        <v>11029662.67086724</v>
      </c>
      <c r="BH22">
        <f t="shared" si="2"/>
        <v>11912035.684536619</v>
      </c>
      <c r="BI22">
        <f t="shared" si="2"/>
        <v>12864998.53929955</v>
      </c>
      <c r="BJ22">
        <f t="shared" si="2"/>
        <v>13894198.422443515</v>
      </c>
      <c r="BK22">
        <f t="shared" si="2"/>
        <v>15005734.296238994</v>
      </c>
    </row>
    <row r="24" spans="2:63" x14ac:dyDescent="0.35">
      <c r="B24" s="6" t="s">
        <v>27</v>
      </c>
      <c r="C24" s="6"/>
      <c r="D24" s="6">
        <f>SUM(D22:BK22)</f>
        <v>199637838.5155783</v>
      </c>
      <c r="E24" s="6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78C8-9BC6-4008-89E6-6F20CA9A0C5B}">
  <dimension ref="A1:BL53"/>
  <sheetViews>
    <sheetView zoomScale="79" workbookViewId="0">
      <selection activeCell="D20" sqref="D20"/>
    </sheetView>
  </sheetViews>
  <sheetFormatPr defaultRowHeight="18" x14ac:dyDescent="0.35"/>
  <cols>
    <col min="1" max="1" width="35.83203125" bestFit="1" customWidth="1"/>
    <col min="2" max="2" width="12.9140625" bestFit="1" customWidth="1"/>
    <col min="3" max="3" width="7.25" bestFit="1" customWidth="1"/>
    <col min="4" max="4" width="33.75" bestFit="1" customWidth="1"/>
    <col min="5" max="5" width="14.9140625" bestFit="1" customWidth="1"/>
    <col min="6" max="27" width="12.9140625" bestFit="1" customWidth="1"/>
    <col min="28" max="64" width="13.9140625" bestFit="1" customWidth="1"/>
  </cols>
  <sheetData>
    <row r="1" spans="1:5" x14ac:dyDescent="0.35">
      <c r="A1" s="7" t="s">
        <v>32</v>
      </c>
      <c r="B1" s="7">
        <v>2317.5486770000002</v>
      </c>
      <c r="C1" s="7" t="s">
        <v>45</v>
      </c>
      <c r="D1" t="s">
        <v>34</v>
      </c>
      <c r="E1" t="s">
        <v>35</v>
      </c>
    </row>
    <row r="2" spans="1:5" x14ac:dyDescent="0.35">
      <c r="A2" s="8" t="s">
        <v>36</v>
      </c>
      <c r="B2" s="9">
        <v>0.2</v>
      </c>
      <c r="C2" s="8"/>
    </row>
    <row r="3" spans="1:5" x14ac:dyDescent="0.35">
      <c r="A3" s="8" t="s">
        <v>40</v>
      </c>
      <c r="B3" s="8">
        <v>10</v>
      </c>
      <c r="C3" s="8" t="s">
        <v>13</v>
      </c>
    </row>
    <row r="4" spans="1:5" x14ac:dyDescent="0.35">
      <c r="A4" s="8" t="s">
        <v>37</v>
      </c>
      <c r="B4" s="9">
        <v>0.11</v>
      </c>
      <c r="C4" s="8"/>
    </row>
    <row r="5" spans="1:5" x14ac:dyDescent="0.35">
      <c r="A5" s="8" t="s">
        <v>38</v>
      </c>
      <c r="B5" s="8">
        <v>2</v>
      </c>
      <c r="C5" s="8" t="s">
        <v>13</v>
      </c>
    </row>
    <row r="6" spans="1:5" x14ac:dyDescent="0.35">
      <c r="A6" s="8" t="s">
        <v>39</v>
      </c>
      <c r="B6" s="10">
        <v>5.0000000000000001E-3</v>
      </c>
      <c r="C6" s="8"/>
    </row>
    <row r="7" spans="1:5" x14ac:dyDescent="0.35">
      <c r="A7" s="8" t="s">
        <v>69</v>
      </c>
      <c r="B7" s="9">
        <v>0.8</v>
      </c>
      <c r="C7" s="8"/>
    </row>
    <row r="8" spans="1:5" x14ac:dyDescent="0.35">
      <c r="A8" s="8" t="s">
        <v>41</v>
      </c>
      <c r="B8" s="8">
        <v>20</v>
      </c>
      <c r="C8" s="8" t="s">
        <v>13</v>
      </c>
    </row>
    <row r="9" spans="1:5" x14ac:dyDescent="0.35">
      <c r="A9" s="8" t="s">
        <v>42</v>
      </c>
      <c r="B9" s="9">
        <v>0.06</v>
      </c>
      <c r="C9" s="8"/>
    </row>
    <row r="10" spans="1:5" x14ac:dyDescent="0.35">
      <c r="A10" s="8" t="s">
        <v>43</v>
      </c>
      <c r="B10" s="9">
        <v>0.03</v>
      </c>
      <c r="C10" s="8" t="s">
        <v>13</v>
      </c>
    </row>
    <row r="11" spans="1:5" x14ac:dyDescent="0.35">
      <c r="A11" s="8" t="s">
        <v>44</v>
      </c>
      <c r="B11" s="10">
        <v>5.0000000000000001E-3</v>
      </c>
      <c r="C11" s="8"/>
    </row>
    <row r="13" spans="1:5" x14ac:dyDescent="0.35">
      <c r="A13" s="11" t="s">
        <v>31</v>
      </c>
      <c r="B13" s="12"/>
      <c r="C13" s="13"/>
    </row>
    <row r="14" spans="1:5" x14ac:dyDescent="0.35">
      <c r="A14" s="14" t="s">
        <v>46</v>
      </c>
      <c r="B14" s="15">
        <v>7.34</v>
      </c>
      <c r="C14" s="16" t="s">
        <v>45</v>
      </c>
    </row>
    <row r="15" spans="1:5" x14ac:dyDescent="0.35">
      <c r="A15" s="14" t="s">
        <v>47</v>
      </c>
      <c r="B15">
        <v>15.44</v>
      </c>
      <c r="C15" s="16" t="s">
        <v>33</v>
      </c>
    </row>
    <row r="16" spans="1:5" x14ac:dyDescent="0.35">
      <c r="A16" s="17" t="s">
        <v>48</v>
      </c>
      <c r="B16" s="19">
        <v>0.08</v>
      </c>
      <c r="C16" s="18"/>
    </row>
    <row r="17" spans="1:4" x14ac:dyDescent="0.35">
      <c r="A17" t="s">
        <v>49</v>
      </c>
      <c r="B17" s="2">
        <v>0.03</v>
      </c>
    </row>
    <row r="18" spans="1:4" x14ac:dyDescent="0.35">
      <c r="B18" s="2"/>
    </row>
    <row r="20" spans="1:4" x14ac:dyDescent="0.35">
      <c r="A20" t="s">
        <v>52</v>
      </c>
      <c r="B20">
        <v>1984.089113</v>
      </c>
      <c r="C20" t="s">
        <v>50</v>
      </c>
      <c r="D20" t="s">
        <v>51</v>
      </c>
    </row>
    <row r="21" spans="1:4" x14ac:dyDescent="0.35">
      <c r="A21" t="e" vm="1">
        <v>#VALUE!</v>
      </c>
      <c r="B21" s="22" cm="1">
        <f t="array" aca="1" ref="B21" ca="1">_FV(A21,"Price")</f>
        <v>1.116E-2</v>
      </c>
      <c r="C21" t="s">
        <v>54</v>
      </c>
    </row>
    <row r="22" spans="1:4" x14ac:dyDescent="0.35">
      <c r="A22" t="s">
        <v>53</v>
      </c>
      <c r="B22" s="23">
        <f ca="1">B20*B21</f>
        <v>22.14243450108</v>
      </c>
      <c r="C22" t="s">
        <v>33</v>
      </c>
    </row>
    <row r="23" spans="1:4" x14ac:dyDescent="0.35">
      <c r="A23" t="s">
        <v>25</v>
      </c>
      <c r="B23">
        <f>'old_Lifetime Generation'!B14</f>
        <v>213399.99999999991</v>
      </c>
      <c r="C23" t="s">
        <v>10</v>
      </c>
    </row>
    <row r="24" spans="1:4" x14ac:dyDescent="0.35">
      <c r="A24" t="s">
        <v>55</v>
      </c>
      <c r="B24">
        <f ca="1">B23*B22</f>
        <v>4725195.52253047</v>
      </c>
      <c r="C24" t="s">
        <v>54</v>
      </c>
    </row>
    <row r="26" spans="1:4" x14ac:dyDescent="0.35">
      <c r="A26" t="s">
        <v>65</v>
      </c>
      <c r="B26">
        <f>B1</f>
        <v>2317.5486770000002</v>
      </c>
      <c r="C26" t="s">
        <v>45</v>
      </c>
    </row>
    <row r="27" spans="1:4" x14ac:dyDescent="0.35">
      <c r="A27" t="s">
        <v>59</v>
      </c>
      <c r="B27">
        <v>100</v>
      </c>
      <c r="C27" t="s">
        <v>5</v>
      </c>
    </row>
    <row r="28" spans="1:4" x14ac:dyDescent="0.35">
      <c r="A28" t="s">
        <v>58</v>
      </c>
      <c r="B28">
        <f>B26*B27</f>
        <v>231754.86770000003</v>
      </c>
      <c r="C28" t="s">
        <v>54</v>
      </c>
    </row>
    <row r="29" spans="1:4" x14ac:dyDescent="0.35">
      <c r="A29" t="s">
        <v>60</v>
      </c>
      <c r="B29">
        <f>B28*B2</f>
        <v>46350.973540000006</v>
      </c>
    </row>
    <row r="30" spans="1:4" x14ac:dyDescent="0.35">
      <c r="A30" t="s">
        <v>66</v>
      </c>
      <c r="B30" s="24">
        <f>PMT(B4,B3,-B29)</f>
        <v>7870.4614544500146</v>
      </c>
    </row>
    <row r="31" spans="1:4" x14ac:dyDescent="0.35">
      <c r="A31" t="s">
        <v>68</v>
      </c>
      <c r="B31">
        <f>B7*B28</f>
        <v>185403.89416000003</v>
      </c>
      <c r="C31" t="s">
        <v>54</v>
      </c>
    </row>
    <row r="32" spans="1:4" x14ac:dyDescent="0.35">
      <c r="A32" t="s">
        <v>67</v>
      </c>
      <c r="B32" s="24">
        <f>PMT(B9,B8,-B31)</f>
        <v>16164.356374122659</v>
      </c>
    </row>
    <row r="33" spans="1:64" x14ac:dyDescent="0.35">
      <c r="B33" s="24"/>
    </row>
    <row r="34" spans="1:64" x14ac:dyDescent="0.35">
      <c r="A34" t="s">
        <v>46</v>
      </c>
      <c r="B34" s="24">
        <f>B27*1000*B14</f>
        <v>734000</v>
      </c>
    </row>
    <row r="35" spans="1:64" x14ac:dyDescent="0.35">
      <c r="A35" t="s">
        <v>71</v>
      </c>
      <c r="B35">
        <f>'old_Lifetime Generation'!B13</f>
        <v>160049.99999999994</v>
      </c>
      <c r="C35" t="s">
        <v>10</v>
      </c>
    </row>
    <row r="36" spans="1:64" x14ac:dyDescent="0.35">
      <c r="A36" t="s">
        <v>70</v>
      </c>
      <c r="B36" s="24">
        <f>B35*B15</f>
        <v>2471171.9999999991</v>
      </c>
    </row>
    <row r="37" spans="1:64" x14ac:dyDescent="0.35">
      <c r="A37" t="s">
        <v>72</v>
      </c>
      <c r="B37" s="24">
        <f>B34+B36</f>
        <v>3205171.9999999991</v>
      </c>
    </row>
    <row r="38" spans="1:64" x14ac:dyDescent="0.35">
      <c r="B38" s="24"/>
    </row>
    <row r="41" spans="1:64" x14ac:dyDescent="0.35">
      <c r="D41" t="s">
        <v>29</v>
      </c>
      <c r="E41">
        <v>0</v>
      </c>
      <c r="F41">
        <v>1</v>
      </c>
      <c r="G41">
        <v>2</v>
      </c>
      <c r="H41">
        <v>3</v>
      </c>
      <c r="I41">
        <v>4</v>
      </c>
      <c r="J41">
        <v>5</v>
      </c>
      <c r="K41">
        <v>6</v>
      </c>
      <c r="L41">
        <v>7</v>
      </c>
      <c r="M41">
        <v>8</v>
      </c>
      <c r="N41">
        <v>9</v>
      </c>
      <c r="O41">
        <v>10</v>
      </c>
      <c r="P41">
        <v>11</v>
      </c>
      <c r="Q41">
        <v>12</v>
      </c>
      <c r="R41">
        <v>13</v>
      </c>
      <c r="S41">
        <v>14</v>
      </c>
      <c r="T41">
        <v>15</v>
      </c>
      <c r="U41">
        <v>16</v>
      </c>
      <c r="V41">
        <v>17</v>
      </c>
      <c r="W41">
        <v>18</v>
      </c>
      <c r="X41">
        <v>19</v>
      </c>
      <c r="Y41">
        <v>20</v>
      </c>
      <c r="Z41">
        <v>21</v>
      </c>
      <c r="AA41">
        <v>22</v>
      </c>
      <c r="AB41">
        <v>23</v>
      </c>
      <c r="AC41">
        <v>24</v>
      </c>
      <c r="AD41">
        <v>25</v>
      </c>
      <c r="AE41">
        <v>26</v>
      </c>
      <c r="AF41">
        <v>27</v>
      </c>
      <c r="AG41">
        <v>28</v>
      </c>
      <c r="AH41">
        <v>29</v>
      </c>
      <c r="AI41">
        <v>30</v>
      </c>
      <c r="AJ41">
        <v>31</v>
      </c>
      <c r="AK41">
        <v>32</v>
      </c>
      <c r="AL41">
        <v>33</v>
      </c>
      <c r="AM41">
        <v>34</v>
      </c>
      <c r="AN41">
        <v>35</v>
      </c>
      <c r="AO41">
        <v>36</v>
      </c>
      <c r="AP41">
        <v>37</v>
      </c>
      <c r="AQ41">
        <v>38</v>
      </c>
      <c r="AR41">
        <v>39</v>
      </c>
      <c r="AS41">
        <v>40</v>
      </c>
      <c r="AT41">
        <v>41</v>
      </c>
      <c r="AU41">
        <v>42</v>
      </c>
      <c r="AV41">
        <v>43</v>
      </c>
      <c r="AW41">
        <v>44</v>
      </c>
      <c r="AX41">
        <v>45</v>
      </c>
      <c r="AY41">
        <v>46</v>
      </c>
      <c r="AZ41">
        <v>47</v>
      </c>
      <c r="BA41">
        <v>48</v>
      </c>
      <c r="BB41">
        <v>49</v>
      </c>
      <c r="BC41">
        <v>50</v>
      </c>
      <c r="BD41">
        <v>51</v>
      </c>
      <c r="BE41">
        <v>52</v>
      </c>
      <c r="BF41">
        <v>53</v>
      </c>
      <c r="BG41">
        <v>54</v>
      </c>
      <c r="BH41">
        <v>55</v>
      </c>
      <c r="BI41">
        <v>56</v>
      </c>
      <c r="BJ41">
        <v>57</v>
      </c>
      <c r="BK41">
        <v>58</v>
      </c>
      <c r="BL41">
        <v>59</v>
      </c>
    </row>
    <row r="42" spans="1:64" x14ac:dyDescent="0.35">
      <c r="D42" t="s">
        <v>56</v>
      </c>
      <c r="E42">
        <v>2025</v>
      </c>
      <c r="F42">
        <v>2026</v>
      </c>
      <c r="G42">
        <v>2027</v>
      </c>
      <c r="H42">
        <v>2028</v>
      </c>
      <c r="I42">
        <v>2029</v>
      </c>
      <c r="J42">
        <v>2030</v>
      </c>
      <c r="K42">
        <v>2031</v>
      </c>
      <c r="L42">
        <v>2032</v>
      </c>
      <c r="M42">
        <v>2033</v>
      </c>
      <c r="N42">
        <v>2034</v>
      </c>
      <c r="O42">
        <v>2035</v>
      </c>
      <c r="P42">
        <v>2036</v>
      </c>
      <c r="Q42">
        <v>2037</v>
      </c>
      <c r="R42">
        <v>2038</v>
      </c>
      <c r="S42">
        <v>2039</v>
      </c>
      <c r="T42">
        <v>2040</v>
      </c>
      <c r="U42">
        <v>2041</v>
      </c>
      <c r="V42">
        <v>2042</v>
      </c>
      <c r="W42">
        <v>2043</v>
      </c>
      <c r="X42">
        <v>2044</v>
      </c>
      <c r="Y42">
        <v>2045</v>
      </c>
      <c r="Z42">
        <v>2046</v>
      </c>
      <c r="AA42">
        <v>2047</v>
      </c>
      <c r="AB42">
        <v>2048</v>
      </c>
      <c r="AC42">
        <v>2049</v>
      </c>
      <c r="AD42">
        <v>2050</v>
      </c>
      <c r="AE42">
        <v>2051</v>
      </c>
      <c r="AF42">
        <v>2052</v>
      </c>
      <c r="AG42">
        <v>2053</v>
      </c>
      <c r="AH42">
        <v>2054</v>
      </c>
      <c r="AI42">
        <v>2055</v>
      </c>
      <c r="AJ42">
        <v>2056</v>
      </c>
      <c r="AK42">
        <v>2057</v>
      </c>
      <c r="AL42">
        <v>2058</v>
      </c>
      <c r="AM42">
        <v>2059</v>
      </c>
      <c r="AN42">
        <v>2060</v>
      </c>
      <c r="AO42">
        <v>2061</v>
      </c>
      <c r="AP42">
        <v>2062</v>
      </c>
      <c r="AQ42">
        <v>2063</v>
      </c>
      <c r="AR42">
        <v>2064</v>
      </c>
      <c r="AS42">
        <v>2065</v>
      </c>
      <c r="AT42">
        <v>2066</v>
      </c>
      <c r="AU42">
        <v>2067</v>
      </c>
      <c r="AV42">
        <v>2068</v>
      </c>
      <c r="AW42">
        <v>2069</v>
      </c>
      <c r="AX42">
        <v>2070</v>
      </c>
      <c r="AY42">
        <v>2071</v>
      </c>
      <c r="AZ42">
        <v>2072</v>
      </c>
      <c r="BA42">
        <v>2073</v>
      </c>
      <c r="BB42">
        <v>2074</v>
      </c>
      <c r="BC42">
        <v>2075</v>
      </c>
      <c r="BD42">
        <v>2076</v>
      </c>
      <c r="BE42">
        <v>2077</v>
      </c>
      <c r="BF42">
        <v>2078</v>
      </c>
      <c r="BG42">
        <v>2079</v>
      </c>
      <c r="BH42">
        <v>2080</v>
      </c>
      <c r="BI42">
        <v>2081</v>
      </c>
      <c r="BJ42">
        <v>2082</v>
      </c>
      <c r="BK42">
        <v>2083</v>
      </c>
      <c r="BL42">
        <v>2084</v>
      </c>
    </row>
    <row r="43" spans="1:64" x14ac:dyDescent="0.35">
      <c r="D43" t="s">
        <v>58</v>
      </c>
      <c r="E43">
        <v>96800</v>
      </c>
    </row>
    <row r="44" spans="1:64" x14ac:dyDescent="0.35">
      <c r="D44" t="s">
        <v>61</v>
      </c>
      <c r="E44" s="24">
        <f>$B$30</f>
        <v>7870.4614544500146</v>
      </c>
      <c r="F44" s="24">
        <f t="shared" ref="F44:N44" si="0">$B$30</f>
        <v>7870.4614544500146</v>
      </c>
      <c r="G44" s="24">
        <f t="shared" si="0"/>
        <v>7870.4614544500146</v>
      </c>
      <c r="H44" s="24">
        <f t="shared" si="0"/>
        <v>7870.4614544500146</v>
      </c>
      <c r="I44" s="24">
        <f t="shared" si="0"/>
        <v>7870.4614544500146</v>
      </c>
      <c r="J44" s="24">
        <f t="shared" si="0"/>
        <v>7870.4614544500146</v>
      </c>
      <c r="K44" s="24">
        <f t="shared" si="0"/>
        <v>7870.4614544500146</v>
      </c>
      <c r="L44" s="24">
        <f t="shared" si="0"/>
        <v>7870.4614544500146</v>
      </c>
      <c r="M44" s="24">
        <f t="shared" si="0"/>
        <v>7870.4614544500146</v>
      </c>
      <c r="N44" s="24">
        <f t="shared" si="0"/>
        <v>7870.4614544500146</v>
      </c>
    </row>
    <row r="45" spans="1:64" x14ac:dyDescent="0.35">
      <c r="D45" t="s">
        <v>62</v>
      </c>
      <c r="E45">
        <f>1/(1+$B$4)^E41</f>
        <v>1</v>
      </c>
      <c r="F45">
        <f t="shared" ref="F45:N45" si="1">1/(1+$B$4)^F41</f>
        <v>0.9009009009009008</v>
      </c>
      <c r="G45">
        <f t="shared" si="1"/>
        <v>0.8116224332440547</v>
      </c>
      <c r="H45">
        <f t="shared" si="1"/>
        <v>0.73119138130095018</v>
      </c>
      <c r="I45">
        <f t="shared" si="1"/>
        <v>0.65873097414500015</v>
      </c>
      <c r="J45">
        <f t="shared" si="1"/>
        <v>0.5934513280585586</v>
      </c>
      <c r="K45">
        <f t="shared" si="1"/>
        <v>0.53464083608879154</v>
      </c>
      <c r="L45">
        <f t="shared" si="1"/>
        <v>0.48165841089080319</v>
      </c>
      <c r="M45">
        <f t="shared" si="1"/>
        <v>0.43392649629802077</v>
      </c>
      <c r="N45">
        <f t="shared" si="1"/>
        <v>0.39092477143965831</v>
      </c>
    </row>
    <row r="46" spans="1:64" x14ac:dyDescent="0.35">
      <c r="D46" t="s">
        <v>63</v>
      </c>
      <c r="E46" s="24">
        <f>$B$32</f>
        <v>16164.356374122659</v>
      </c>
      <c r="F46" s="24">
        <f t="shared" ref="F46:X46" si="2">$B$32</f>
        <v>16164.356374122659</v>
      </c>
      <c r="G46" s="24">
        <f t="shared" si="2"/>
        <v>16164.356374122659</v>
      </c>
      <c r="H46" s="24">
        <f t="shared" si="2"/>
        <v>16164.356374122659</v>
      </c>
      <c r="I46" s="24">
        <f t="shared" si="2"/>
        <v>16164.356374122659</v>
      </c>
      <c r="J46" s="24">
        <f t="shared" si="2"/>
        <v>16164.356374122659</v>
      </c>
      <c r="K46" s="24">
        <f t="shared" si="2"/>
        <v>16164.356374122659</v>
      </c>
      <c r="L46" s="24">
        <f t="shared" si="2"/>
        <v>16164.356374122659</v>
      </c>
      <c r="M46" s="24">
        <f t="shared" si="2"/>
        <v>16164.356374122659</v>
      </c>
      <c r="N46" s="24">
        <f t="shared" si="2"/>
        <v>16164.356374122659</v>
      </c>
      <c r="O46" s="24">
        <f t="shared" si="2"/>
        <v>16164.356374122659</v>
      </c>
      <c r="P46" s="24">
        <f t="shared" si="2"/>
        <v>16164.356374122659</v>
      </c>
      <c r="Q46" s="24">
        <f t="shared" si="2"/>
        <v>16164.356374122659</v>
      </c>
      <c r="R46" s="24">
        <f t="shared" si="2"/>
        <v>16164.356374122659</v>
      </c>
      <c r="S46" s="24">
        <f t="shared" si="2"/>
        <v>16164.356374122659</v>
      </c>
      <c r="T46" s="24">
        <f t="shared" si="2"/>
        <v>16164.356374122659</v>
      </c>
      <c r="U46" s="24">
        <f t="shared" si="2"/>
        <v>16164.356374122659</v>
      </c>
      <c r="V46" s="24">
        <f t="shared" si="2"/>
        <v>16164.356374122659</v>
      </c>
      <c r="W46" s="24">
        <f t="shared" si="2"/>
        <v>16164.356374122659</v>
      </c>
      <c r="X46" s="24">
        <f t="shared" si="2"/>
        <v>16164.356374122659</v>
      </c>
    </row>
    <row r="47" spans="1:64" x14ac:dyDescent="0.35">
      <c r="D47" t="s">
        <v>64</v>
      </c>
      <c r="E47">
        <f>1/(1+$B$9)^E41</f>
        <v>1</v>
      </c>
      <c r="F47">
        <f t="shared" ref="F47:X47" si="3">1/(1+$B$9)^F41</f>
        <v>0.94339622641509424</v>
      </c>
      <c r="G47">
        <f t="shared" si="3"/>
        <v>0.88999644001423983</v>
      </c>
      <c r="H47">
        <f t="shared" si="3"/>
        <v>0.8396192830323016</v>
      </c>
      <c r="I47">
        <f t="shared" si="3"/>
        <v>0.79209366323802044</v>
      </c>
      <c r="J47">
        <f t="shared" si="3"/>
        <v>0.74725817286605689</v>
      </c>
      <c r="K47">
        <f t="shared" si="3"/>
        <v>0.70496054043967626</v>
      </c>
      <c r="L47">
        <f t="shared" si="3"/>
        <v>0.66505711362233599</v>
      </c>
      <c r="M47">
        <f t="shared" si="3"/>
        <v>0.62741237134182648</v>
      </c>
      <c r="N47">
        <f t="shared" si="3"/>
        <v>0.59189846353002495</v>
      </c>
      <c r="O47">
        <f t="shared" si="3"/>
        <v>0.55839477691511785</v>
      </c>
      <c r="P47">
        <f t="shared" si="3"/>
        <v>0.52678752539162055</v>
      </c>
      <c r="Q47">
        <f t="shared" si="3"/>
        <v>0.4969693635770005</v>
      </c>
      <c r="R47">
        <f t="shared" si="3"/>
        <v>0.46883902224245327</v>
      </c>
      <c r="S47">
        <f t="shared" si="3"/>
        <v>0.44230096437967292</v>
      </c>
      <c r="T47">
        <f t="shared" si="3"/>
        <v>0.41726506073554037</v>
      </c>
      <c r="U47">
        <f t="shared" si="3"/>
        <v>0.39364628371277405</v>
      </c>
      <c r="V47">
        <f t="shared" si="3"/>
        <v>0.37136441859695657</v>
      </c>
      <c r="W47">
        <f t="shared" si="3"/>
        <v>0.35034379112920433</v>
      </c>
      <c r="X47">
        <f t="shared" si="3"/>
        <v>0.3305130104992493</v>
      </c>
    </row>
    <row r="48" spans="1:64" x14ac:dyDescent="0.35">
      <c r="D48" t="s">
        <v>31</v>
      </c>
      <c r="F48" s="24">
        <f>B37</f>
        <v>3205171.9999999991</v>
      </c>
      <c r="G48" s="24">
        <f>F48*(1+$B$17)</f>
        <v>3301327.1599999992</v>
      </c>
      <c r="H48" s="24">
        <f t="shared" ref="H48:BL48" si="4">G48*(1+$B$17)</f>
        <v>3400366.9747999995</v>
      </c>
      <c r="I48" s="24">
        <f t="shared" si="4"/>
        <v>3502377.9840439996</v>
      </c>
      <c r="J48" s="24">
        <f t="shared" si="4"/>
        <v>3607449.3235653196</v>
      </c>
      <c r="K48" s="24">
        <f t="shared" si="4"/>
        <v>3715672.8032722794</v>
      </c>
      <c r="L48" s="24">
        <f t="shared" si="4"/>
        <v>3827142.9873704477</v>
      </c>
      <c r="M48" s="24">
        <f t="shared" si="4"/>
        <v>3941957.2769915611</v>
      </c>
      <c r="N48" s="24">
        <f t="shared" si="4"/>
        <v>4060215.9953013081</v>
      </c>
      <c r="O48" s="24">
        <f t="shared" si="4"/>
        <v>4182022.4751603473</v>
      </c>
      <c r="P48" s="24">
        <f t="shared" si="4"/>
        <v>4307483.1494151577</v>
      </c>
      <c r="Q48" s="24">
        <f t="shared" si="4"/>
        <v>4436707.6438976126</v>
      </c>
      <c r="R48" s="24">
        <f t="shared" si="4"/>
        <v>4569808.873214541</v>
      </c>
      <c r="S48" s="24">
        <f t="shared" si="4"/>
        <v>4706903.1394109773</v>
      </c>
      <c r="T48" s="24">
        <f t="shared" si="4"/>
        <v>4848110.2335933065</v>
      </c>
      <c r="U48" s="24">
        <f t="shared" si="4"/>
        <v>4993553.5406011054</v>
      </c>
      <c r="V48" s="24">
        <f t="shared" si="4"/>
        <v>5143360.1468191389</v>
      </c>
      <c r="W48" s="24">
        <f t="shared" si="4"/>
        <v>5297660.9512237133</v>
      </c>
      <c r="X48" s="24">
        <f t="shared" si="4"/>
        <v>5456590.779760425</v>
      </c>
      <c r="Y48" s="24">
        <f t="shared" si="4"/>
        <v>5620288.5031532375</v>
      </c>
      <c r="Z48" s="24">
        <f t="shared" si="4"/>
        <v>5788897.158247835</v>
      </c>
      <c r="AA48" s="24">
        <f t="shared" si="4"/>
        <v>5962564.0729952706</v>
      </c>
      <c r="AB48" s="24">
        <f t="shared" si="4"/>
        <v>6141440.9951851293</v>
      </c>
      <c r="AC48" s="24">
        <f t="shared" si="4"/>
        <v>6325684.2250406835</v>
      </c>
      <c r="AD48" s="24">
        <f t="shared" si="4"/>
        <v>6515454.7517919037</v>
      </c>
      <c r="AE48" s="24">
        <f t="shared" si="4"/>
        <v>6710918.3943456607</v>
      </c>
      <c r="AF48" s="24">
        <f t="shared" si="4"/>
        <v>6912245.9461760307</v>
      </c>
      <c r="AG48" s="24">
        <f t="shared" si="4"/>
        <v>7119613.3245613119</v>
      </c>
      <c r="AH48" s="24">
        <f t="shared" si="4"/>
        <v>7333201.7242981512</v>
      </c>
      <c r="AI48" s="24">
        <f t="shared" si="4"/>
        <v>7553197.7760270955</v>
      </c>
      <c r="AJ48" s="24">
        <f t="shared" si="4"/>
        <v>7779793.709307909</v>
      </c>
      <c r="AK48" s="24">
        <f t="shared" si="4"/>
        <v>8013187.5205871463</v>
      </c>
      <c r="AL48" s="24">
        <f t="shared" si="4"/>
        <v>8253583.1462047612</v>
      </c>
      <c r="AM48" s="24">
        <f t="shared" si="4"/>
        <v>8501190.6405909043</v>
      </c>
      <c r="AN48" s="24">
        <f t="shared" si="4"/>
        <v>8756226.3598086312</v>
      </c>
      <c r="AO48" s="24">
        <f t="shared" si="4"/>
        <v>9018913.1506028902</v>
      </c>
      <c r="AP48" s="24">
        <f t="shared" si="4"/>
        <v>9289480.5451209769</v>
      </c>
      <c r="AQ48" s="24">
        <f t="shared" si="4"/>
        <v>9568164.9614746068</v>
      </c>
      <c r="AR48" s="24">
        <f t="shared" si="4"/>
        <v>9855209.9103188459</v>
      </c>
      <c r="AS48" s="24">
        <f t="shared" si="4"/>
        <v>10150866.207628412</v>
      </c>
      <c r="AT48" s="24">
        <f t="shared" si="4"/>
        <v>10455392.193857266</v>
      </c>
      <c r="AU48" s="24">
        <f t="shared" si="4"/>
        <v>10769053.959672984</v>
      </c>
      <c r="AV48" s="24">
        <f t="shared" si="4"/>
        <v>11092125.578463174</v>
      </c>
      <c r="AW48" s="24">
        <f t="shared" si="4"/>
        <v>11424889.34581707</v>
      </c>
      <c r="AX48" s="24">
        <f t="shared" si="4"/>
        <v>11767636.026191583</v>
      </c>
      <c r="AY48" s="24">
        <f t="shared" si="4"/>
        <v>12120665.106977331</v>
      </c>
      <c r="AZ48" s="24">
        <f t="shared" si="4"/>
        <v>12484285.060186651</v>
      </c>
      <c r="BA48" s="24">
        <f t="shared" si="4"/>
        <v>12858813.611992251</v>
      </c>
      <c r="BB48" s="24">
        <f t="shared" si="4"/>
        <v>13244578.020352019</v>
      </c>
      <c r="BC48" s="24">
        <f t="shared" si="4"/>
        <v>13641915.360962579</v>
      </c>
      <c r="BD48" s="24">
        <f t="shared" si="4"/>
        <v>14051172.821791457</v>
      </c>
      <c r="BE48" s="24">
        <f t="shared" si="4"/>
        <v>14472708.006445201</v>
      </c>
      <c r="BF48" s="24">
        <f t="shared" si="4"/>
        <v>14906889.246638557</v>
      </c>
      <c r="BG48" s="24">
        <f t="shared" si="4"/>
        <v>15354095.924037714</v>
      </c>
      <c r="BH48" s="24">
        <f t="shared" si="4"/>
        <v>15814718.801758846</v>
      </c>
      <c r="BI48" s="24">
        <f t="shared" si="4"/>
        <v>16289160.365811612</v>
      </c>
      <c r="BJ48" s="24">
        <f t="shared" si="4"/>
        <v>16777835.176785961</v>
      </c>
      <c r="BK48" s="24">
        <f t="shared" si="4"/>
        <v>17281170.232089542</v>
      </c>
      <c r="BL48" s="24">
        <f t="shared" si="4"/>
        <v>17799605.33905223</v>
      </c>
    </row>
    <row r="49" spans="4:64" x14ac:dyDescent="0.35">
      <c r="D49" t="s">
        <v>73</v>
      </c>
      <c r="K49">
        <f ca="1">$B$24</f>
        <v>4725195.52253047</v>
      </c>
      <c r="L49">
        <f t="shared" ref="L49:BL49" ca="1" si="5">$B$24</f>
        <v>4725195.52253047</v>
      </c>
      <c r="M49">
        <f t="shared" ca="1" si="5"/>
        <v>4725195.52253047</v>
      </c>
      <c r="N49">
        <f t="shared" ca="1" si="5"/>
        <v>4725195.52253047</v>
      </c>
      <c r="O49">
        <f t="shared" ca="1" si="5"/>
        <v>4725195.52253047</v>
      </c>
      <c r="P49">
        <f t="shared" ca="1" si="5"/>
        <v>4725195.52253047</v>
      </c>
      <c r="Q49">
        <f t="shared" ca="1" si="5"/>
        <v>4725195.52253047</v>
      </c>
      <c r="R49">
        <f t="shared" ca="1" si="5"/>
        <v>4725195.52253047</v>
      </c>
      <c r="S49">
        <f t="shared" ca="1" si="5"/>
        <v>4725195.52253047</v>
      </c>
      <c r="T49">
        <f t="shared" ca="1" si="5"/>
        <v>4725195.52253047</v>
      </c>
      <c r="U49">
        <f t="shared" ca="1" si="5"/>
        <v>4725195.52253047</v>
      </c>
      <c r="V49">
        <f t="shared" ca="1" si="5"/>
        <v>4725195.52253047</v>
      </c>
      <c r="W49">
        <f t="shared" ca="1" si="5"/>
        <v>4725195.52253047</v>
      </c>
      <c r="X49">
        <f t="shared" ca="1" si="5"/>
        <v>4725195.52253047</v>
      </c>
      <c r="Y49">
        <f t="shared" ca="1" si="5"/>
        <v>4725195.52253047</v>
      </c>
      <c r="Z49">
        <f t="shared" ca="1" si="5"/>
        <v>4725195.52253047</v>
      </c>
      <c r="AA49">
        <f t="shared" ca="1" si="5"/>
        <v>4725195.52253047</v>
      </c>
      <c r="AB49">
        <f t="shared" ca="1" si="5"/>
        <v>4725195.52253047</v>
      </c>
      <c r="AC49">
        <f t="shared" ca="1" si="5"/>
        <v>4725195.52253047</v>
      </c>
      <c r="AD49">
        <f t="shared" ca="1" si="5"/>
        <v>4725195.52253047</v>
      </c>
      <c r="AE49">
        <f t="shared" ca="1" si="5"/>
        <v>4725195.52253047</v>
      </c>
      <c r="AF49">
        <f t="shared" ca="1" si="5"/>
        <v>4725195.52253047</v>
      </c>
      <c r="AG49">
        <f t="shared" ca="1" si="5"/>
        <v>4725195.52253047</v>
      </c>
      <c r="AH49">
        <f t="shared" ca="1" si="5"/>
        <v>4725195.52253047</v>
      </c>
      <c r="AI49">
        <f t="shared" ca="1" si="5"/>
        <v>4725195.52253047</v>
      </c>
      <c r="AJ49">
        <f t="shared" ca="1" si="5"/>
        <v>4725195.52253047</v>
      </c>
      <c r="AK49">
        <f t="shared" ca="1" si="5"/>
        <v>4725195.52253047</v>
      </c>
      <c r="AL49">
        <f t="shared" ca="1" si="5"/>
        <v>4725195.52253047</v>
      </c>
      <c r="AM49">
        <f t="shared" ca="1" si="5"/>
        <v>4725195.52253047</v>
      </c>
      <c r="AN49">
        <f t="shared" ca="1" si="5"/>
        <v>4725195.52253047</v>
      </c>
      <c r="AO49">
        <f t="shared" ca="1" si="5"/>
        <v>4725195.52253047</v>
      </c>
      <c r="AP49">
        <f t="shared" ca="1" si="5"/>
        <v>4725195.52253047</v>
      </c>
      <c r="AQ49">
        <f t="shared" ca="1" si="5"/>
        <v>4725195.52253047</v>
      </c>
      <c r="AR49">
        <f t="shared" ca="1" si="5"/>
        <v>4725195.52253047</v>
      </c>
      <c r="AS49">
        <f t="shared" ca="1" si="5"/>
        <v>4725195.52253047</v>
      </c>
      <c r="AT49">
        <f t="shared" ca="1" si="5"/>
        <v>4725195.52253047</v>
      </c>
      <c r="AU49">
        <f t="shared" ca="1" si="5"/>
        <v>4725195.52253047</v>
      </c>
      <c r="AV49">
        <f t="shared" ca="1" si="5"/>
        <v>4725195.52253047</v>
      </c>
      <c r="AW49">
        <f t="shared" ca="1" si="5"/>
        <v>4725195.52253047</v>
      </c>
      <c r="AX49">
        <f t="shared" ca="1" si="5"/>
        <v>4725195.52253047</v>
      </c>
      <c r="AY49">
        <f t="shared" ca="1" si="5"/>
        <v>4725195.52253047</v>
      </c>
      <c r="AZ49">
        <f t="shared" ca="1" si="5"/>
        <v>4725195.52253047</v>
      </c>
      <c r="BA49">
        <f t="shared" ca="1" si="5"/>
        <v>4725195.52253047</v>
      </c>
      <c r="BB49">
        <f t="shared" ca="1" si="5"/>
        <v>4725195.52253047</v>
      </c>
      <c r="BC49">
        <f t="shared" ca="1" si="5"/>
        <v>4725195.52253047</v>
      </c>
      <c r="BD49">
        <f t="shared" ca="1" si="5"/>
        <v>4725195.52253047</v>
      </c>
      <c r="BE49">
        <f t="shared" ca="1" si="5"/>
        <v>4725195.52253047</v>
      </c>
      <c r="BF49">
        <f t="shared" ca="1" si="5"/>
        <v>4725195.52253047</v>
      </c>
      <c r="BG49">
        <f t="shared" ca="1" si="5"/>
        <v>4725195.52253047</v>
      </c>
      <c r="BH49">
        <f t="shared" ca="1" si="5"/>
        <v>4725195.52253047</v>
      </c>
      <c r="BI49">
        <f t="shared" ca="1" si="5"/>
        <v>4725195.52253047</v>
      </c>
      <c r="BJ49">
        <f t="shared" ca="1" si="5"/>
        <v>4725195.52253047</v>
      </c>
      <c r="BK49">
        <f t="shared" ca="1" si="5"/>
        <v>4725195.52253047</v>
      </c>
      <c r="BL49">
        <f t="shared" ca="1" si="5"/>
        <v>4725195.52253047</v>
      </c>
    </row>
    <row r="50" spans="4:64" x14ac:dyDescent="0.35">
      <c r="D50" t="s">
        <v>74</v>
      </c>
      <c r="E50">
        <f>(1/1+$B$16)^E41</f>
        <v>1</v>
      </c>
      <c r="F50">
        <f t="shared" ref="F50:BL50" si="6">(1/1+$B$16)^F41</f>
        <v>1.08</v>
      </c>
      <c r="G50">
        <f t="shared" si="6"/>
        <v>1.1664000000000001</v>
      </c>
      <c r="H50">
        <f t="shared" si="6"/>
        <v>1.2597120000000002</v>
      </c>
      <c r="I50">
        <f t="shared" si="6"/>
        <v>1.3604889600000003</v>
      </c>
      <c r="J50">
        <f t="shared" si="6"/>
        <v>1.4693280768000003</v>
      </c>
      <c r="K50">
        <f t="shared" si="6"/>
        <v>1.5868743229440005</v>
      </c>
      <c r="L50">
        <f t="shared" si="6"/>
        <v>1.7138242687795207</v>
      </c>
      <c r="M50">
        <f t="shared" si="6"/>
        <v>1.8509302102818823</v>
      </c>
      <c r="N50">
        <f t="shared" si="6"/>
        <v>1.9990046271044331</v>
      </c>
      <c r="O50">
        <f t="shared" si="6"/>
        <v>2.1589249972727877</v>
      </c>
      <c r="P50">
        <f t="shared" si="6"/>
        <v>2.3316389970546108</v>
      </c>
      <c r="Q50">
        <f t="shared" si="6"/>
        <v>2.5181701168189798</v>
      </c>
      <c r="R50">
        <f t="shared" si="6"/>
        <v>2.7196237261644982</v>
      </c>
      <c r="S50">
        <f t="shared" si="6"/>
        <v>2.9371936242576586</v>
      </c>
      <c r="T50">
        <f t="shared" si="6"/>
        <v>3.1721691141982715</v>
      </c>
      <c r="U50">
        <f t="shared" si="6"/>
        <v>3.4259426433341331</v>
      </c>
      <c r="V50">
        <f t="shared" si="6"/>
        <v>3.7000180548008639</v>
      </c>
      <c r="W50">
        <f t="shared" si="6"/>
        <v>3.9960194991849334</v>
      </c>
      <c r="X50">
        <f t="shared" si="6"/>
        <v>4.3157010591197285</v>
      </c>
      <c r="Y50">
        <f t="shared" si="6"/>
        <v>4.6609571438493065</v>
      </c>
      <c r="Z50">
        <f t="shared" si="6"/>
        <v>5.0338337153572512</v>
      </c>
      <c r="AA50">
        <f t="shared" si="6"/>
        <v>5.4365404125858321</v>
      </c>
      <c r="AB50">
        <f t="shared" si="6"/>
        <v>5.8714636455926987</v>
      </c>
      <c r="AC50">
        <f t="shared" si="6"/>
        <v>6.3411807372401148</v>
      </c>
      <c r="AD50">
        <f t="shared" si="6"/>
        <v>6.8484751962193249</v>
      </c>
      <c r="AE50">
        <f t="shared" si="6"/>
        <v>7.3963532119168702</v>
      </c>
      <c r="AF50">
        <f t="shared" si="6"/>
        <v>7.9880614688702201</v>
      </c>
      <c r="AG50">
        <f t="shared" si="6"/>
        <v>8.6271063863798378</v>
      </c>
      <c r="AH50">
        <f t="shared" si="6"/>
        <v>9.3172748972902255</v>
      </c>
      <c r="AI50">
        <f t="shared" si="6"/>
        <v>10.062656889073445</v>
      </c>
      <c r="AJ50">
        <f t="shared" si="6"/>
        <v>10.867669440199322</v>
      </c>
      <c r="AK50">
        <f t="shared" si="6"/>
        <v>11.737082995415268</v>
      </c>
      <c r="AL50">
        <f t="shared" si="6"/>
        <v>12.676049635048489</v>
      </c>
      <c r="AM50">
        <f t="shared" si="6"/>
        <v>13.690133605852369</v>
      </c>
      <c r="AN50">
        <f t="shared" si="6"/>
        <v>14.785344294320559</v>
      </c>
      <c r="AO50">
        <f t="shared" si="6"/>
        <v>15.968171837866207</v>
      </c>
      <c r="AP50">
        <f t="shared" si="6"/>
        <v>17.245625584895503</v>
      </c>
      <c r="AQ50">
        <f t="shared" si="6"/>
        <v>18.625275631687146</v>
      </c>
      <c r="AR50">
        <f t="shared" si="6"/>
        <v>20.115297682222117</v>
      </c>
      <c r="AS50">
        <f t="shared" si="6"/>
        <v>21.724521496799888</v>
      </c>
      <c r="AT50">
        <f t="shared" si="6"/>
        <v>23.46248321654388</v>
      </c>
      <c r="AU50">
        <f t="shared" si="6"/>
        <v>25.339481873867388</v>
      </c>
      <c r="AV50">
        <f t="shared" si="6"/>
        <v>27.366640423776779</v>
      </c>
      <c r="AW50">
        <f t="shared" si="6"/>
        <v>29.555971657678928</v>
      </c>
      <c r="AX50">
        <f t="shared" si="6"/>
        <v>31.920449390293239</v>
      </c>
      <c r="AY50">
        <f t="shared" si="6"/>
        <v>34.474085341516705</v>
      </c>
      <c r="AZ50">
        <f t="shared" si="6"/>
        <v>37.232012168838047</v>
      </c>
      <c r="BA50">
        <f t="shared" si="6"/>
        <v>40.210573142345083</v>
      </c>
      <c r="BB50">
        <f t="shared" si="6"/>
        <v>43.427418993732694</v>
      </c>
      <c r="BC50">
        <f t="shared" si="6"/>
        <v>46.901612513231314</v>
      </c>
      <c r="BD50">
        <f t="shared" si="6"/>
        <v>50.653741514289827</v>
      </c>
      <c r="BE50">
        <f t="shared" si="6"/>
        <v>54.706040835433008</v>
      </c>
      <c r="BF50">
        <f t="shared" si="6"/>
        <v>59.082524102267648</v>
      </c>
      <c r="BG50">
        <f t="shared" si="6"/>
        <v>63.809126030449072</v>
      </c>
      <c r="BH50">
        <f t="shared" si="6"/>
        <v>68.913856112885</v>
      </c>
      <c r="BI50">
        <f t="shared" si="6"/>
        <v>74.426964601915799</v>
      </c>
      <c r="BJ50">
        <f t="shared" si="6"/>
        <v>80.381121770069072</v>
      </c>
      <c r="BK50">
        <f t="shared" si="6"/>
        <v>86.811611511674599</v>
      </c>
      <c r="BL50">
        <f t="shared" si="6"/>
        <v>93.75654043260856</v>
      </c>
    </row>
    <row r="51" spans="4:64" x14ac:dyDescent="0.35">
      <c r="D51" t="s">
        <v>57</v>
      </c>
      <c r="E51" s="24">
        <f>E44/E45 + E46/E47+(E48+E49)/E50</f>
        <v>24034.817828572675</v>
      </c>
      <c r="F51" s="24">
        <f t="shared" ref="F51:N51" si="7">F44/F45 + F46/F47+(F48+F49)/F50</f>
        <v>2993622.2818228602</v>
      </c>
      <c r="G51" s="24">
        <f t="shared" si="7"/>
        <v>2858215.3991646278</v>
      </c>
      <c r="H51" s="24">
        <f t="shared" si="7"/>
        <v>2729336.830037151</v>
      </c>
      <c r="I51" s="24">
        <f t="shared" si="7"/>
        <v>2606707.4161920045</v>
      </c>
      <c r="J51" s="24">
        <f t="shared" si="7"/>
        <v>2490063.1341728489</v>
      </c>
      <c r="K51" s="24">
        <f t="shared" ca="1" si="7"/>
        <v>5356829.3175311694</v>
      </c>
      <c r="L51" s="24">
        <f t="shared" ca="1" si="7"/>
        <v>5030852.9313755613</v>
      </c>
      <c r="M51" s="24">
        <f t="shared" ca="1" si="7"/>
        <v>4726494.2787757562</v>
      </c>
      <c r="N51" s="24">
        <f t="shared" ca="1" si="7"/>
        <v>4442335.3086125161</v>
      </c>
      <c r="O51" s="24">
        <f ca="1">O46/O47+(O48+O49)/O50</f>
        <v>4154713.2738597821</v>
      </c>
      <c r="P51" s="24">
        <f t="shared" ref="P51:X51" ca="1" si="8">P46/P47+(P48+P49)/P50</f>
        <v>3904645.8307038508</v>
      </c>
      <c r="Q51" s="24">
        <f t="shared" ca="1" si="8"/>
        <v>3670843.6636363664</v>
      </c>
      <c r="R51" s="24">
        <f t="shared" ca="1" si="8"/>
        <v>3452231.2386519806</v>
      </c>
      <c r="S51" s="24">
        <f t="shared" ca="1" si="8"/>
        <v>3247808.1899531418</v>
      </c>
      <c r="T51" s="24">
        <f t="shared" ca="1" si="8"/>
        <v>3056644.0494248145</v>
      </c>
      <c r="U51" s="24">
        <f t="shared" ca="1" si="8"/>
        <v>2877873.3580924575</v>
      </c>
      <c r="V51" s="24">
        <f t="shared" ca="1" si="8"/>
        <v>2710691.1319791419</v>
      </c>
      <c r="W51" s="24">
        <f t="shared" ca="1" si="8"/>
        <v>2554348.6568072112</v>
      </c>
      <c r="X51" s="24">
        <f t="shared" ca="1" si="8"/>
        <v>2408149.5878710155</v>
      </c>
      <c r="Y51" s="24">
        <f ca="1">(Y48+Y49)/Y50</f>
        <v>2219605.0524377422</v>
      </c>
      <c r="Z51" s="24">
        <f t="shared" ref="Z51:BL51" ca="1" si="9">(Z48+Z49)/Z50</f>
        <v>2088684.9417973119</v>
      </c>
      <c r="AA51" s="24">
        <f t="shared" ca="1" si="9"/>
        <v>1965911.9190548284</v>
      </c>
      <c r="AB51" s="24">
        <f t="shared" ca="1" si="9"/>
        <v>1850754.2877954172</v>
      </c>
      <c r="AC51" s="24">
        <f t="shared" ca="1" si="9"/>
        <v>1742716.4128396774</v>
      </c>
      <c r="AD51" s="24">
        <f t="shared" ca="1" si="9"/>
        <v>1641336.2029153195</v>
      </c>
      <c r="AE51" s="24">
        <f t="shared" ca="1" si="9"/>
        <v>1546182.7726737645</v>
      </c>
      <c r="AF51" s="24">
        <f t="shared" ca="1" si="9"/>
        <v>1456854.2710966927</v>
      </c>
      <c r="AG51" s="24">
        <f t="shared" ca="1" si="9"/>
        <v>1372975.864281903</v>
      </c>
      <c r="AH51" s="24">
        <f t="shared" ca="1" si="9"/>
        <v>1294197.8614729512</v>
      </c>
      <c r="AI51" s="24">
        <f t="shared" ca="1" si="9"/>
        <v>1220193.974008006</v>
      </c>
      <c r="AJ51" s="24">
        <f t="shared" ca="1" si="9"/>
        <v>1150659.6976148942</v>
      </c>
      <c r="AK51" s="24">
        <f t="shared" ca="1" si="9"/>
        <v>1085310.8091757956</v>
      </c>
      <c r="AL51" s="24">
        <f t="shared" ca="1" si="9"/>
        <v>1023881.9697305157</v>
      </c>
      <c r="AM51" s="24">
        <f t="shared" ca="1" si="9"/>
        <v>966125.42608548771</v>
      </c>
      <c r="AN51" s="24">
        <f t="shared" ca="1" si="9"/>
        <v>911809.80395009613</v>
      </c>
      <c r="AO51" s="24">
        <f t="shared" ca="1" si="9"/>
        <v>860718.98603578389</v>
      </c>
      <c r="AP51" s="24">
        <f t="shared" ca="1" si="9"/>
        <v>812651.06902970991</v>
      </c>
      <c r="AQ51" s="24">
        <f t="shared" ca="1" si="9"/>
        <v>767417.39379619225</v>
      </c>
      <c r="AR51" s="24">
        <f t="shared" ca="1" si="9"/>
        <v>724841.64356839051</v>
      </c>
      <c r="AS51" s="24">
        <f t="shared" ca="1" si="9"/>
        <v>684759.00527200045</v>
      </c>
      <c r="AT51" s="24">
        <f t="shared" ca="1" si="9"/>
        <v>647015.38947435841</v>
      </c>
      <c r="AU51" s="24">
        <f t="shared" ca="1" si="9"/>
        <v>611466.70477831177</v>
      </c>
      <c r="AV51" s="24">
        <f t="shared" ca="1" si="9"/>
        <v>577978.18278239167</v>
      </c>
      <c r="AW51" s="24">
        <f t="shared" ca="1" si="9"/>
        <v>546423.75000896282</v>
      </c>
      <c r="AX51" s="24">
        <f t="shared" ca="1" si="9"/>
        <v>516685.44346175133</v>
      </c>
      <c r="AY51" s="24">
        <f t="shared" ca="1" si="9"/>
        <v>488652.866714945</v>
      </c>
      <c r="AZ51" s="24">
        <f t="shared" ca="1" si="9"/>
        <v>462222.68365932914</v>
      </c>
      <c r="BA51" s="24">
        <f t="shared" ca="1" si="9"/>
        <v>437298.1472379287</v>
      </c>
      <c r="BB51" s="24">
        <f t="shared" ca="1" si="9"/>
        <v>413788.660695581</v>
      </c>
      <c r="BC51" s="24">
        <f t="shared" ca="1" si="9"/>
        <v>391609.36904486053</v>
      </c>
      <c r="BD51" s="24">
        <f t="shared" ca="1" si="9"/>
        <v>370680.77861582971</v>
      </c>
      <c r="BE51" s="24">
        <f t="shared" ca="1" si="9"/>
        <v>350928.40271016693</v>
      </c>
      <c r="BF51" s="24">
        <f t="shared" ca="1" si="9"/>
        <v>332282.43152217538</v>
      </c>
      <c r="BG51" s="24">
        <f t="shared" ca="1" si="9"/>
        <v>314677.4246208379</v>
      </c>
      <c r="BH51" s="24">
        <f t="shared" ca="1" si="9"/>
        <v>298052.02440919448</v>
      </c>
      <c r="BI51" s="24">
        <f t="shared" ca="1" si="9"/>
        <v>282348.68909058208</v>
      </c>
      <c r="BJ51" s="24">
        <f t="shared" ca="1" si="9"/>
        <v>267513.443776339</v>
      </c>
      <c r="BK51" s="24">
        <f t="shared" ca="1" si="9"/>
        <v>253495.64846703201</v>
      </c>
      <c r="BL51" s="24">
        <f t="shared" ca="1" si="9"/>
        <v>240247.78172967405</v>
      </c>
    </row>
    <row r="53" spans="4:64" x14ac:dyDescent="0.35">
      <c r="D53" t="s">
        <v>75</v>
      </c>
      <c r="E53" s="24">
        <f ca="1">SUM(E51:BL51)</f>
        <v>100487397.88392556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DC00-4282-48FA-985C-D11D0E6F757B}">
  <dimension ref="A2:C2"/>
  <sheetViews>
    <sheetView workbookViewId="0">
      <selection activeCell="B2" sqref="B2"/>
    </sheetView>
  </sheetViews>
  <sheetFormatPr defaultRowHeight="18" x14ac:dyDescent="0.35"/>
  <sheetData>
    <row r="2" spans="1:3" x14ac:dyDescent="0.35">
      <c r="A2" t="s">
        <v>76</v>
      </c>
      <c r="B2">
        <f ca="1">'Old_Project Lifetime Cost'!E53/'old_Lifetime Generation'!D24</f>
        <v>0.50334845654063842</v>
      </c>
      <c r="C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26D3-1787-4AEF-A532-F9352A5714B6}">
  <sheetPr>
    <tabColor theme="9"/>
  </sheetPr>
  <dimension ref="A1:AF44"/>
  <sheetViews>
    <sheetView tabSelected="1" topLeftCell="A9" workbookViewId="0">
      <selection activeCell="I11" sqref="I11"/>
    </sheetView>
  </sheetViews>
  <sheetFormatPr defaultRowHeight="18" x14ac:dyDescent="0.35"/>
  <cols>
    <col min="1" max="1" width="26.58203125" bestFit="1" customWidth="1"/>
    <col min="2" max="2" width="13.33203125" bestFit="1" customWidth="1"/>
    <col min="5" max="5" width="34.25" bestFit="1" customWidth="1"/>
    <col min="9" max="9" width="11.75" bestFit="1" customWidth="1"/>
  </cols>
  <sheetData>
    <row r="1" spans="1:11" x14ac:dyDescent="0.35">
      <c r="A1" s="29" t="s">
        <v>79</v>
      </c>
      <c r="B1" s="29">
        <v>100</v>
      </c>
      <c r="C1" s="29" t="s">
        <v>5</v>
      </c>
    </row>
    <row r="2" spans="1:11" x14ac:dyDescent="0.35">
      <c r="A2" s="29" t="s">
        <v>80</v>
      </c>
      <c r="B2" s="29">
        <v>2317.549</v>
      </c>
      <c r="C2" s="29" t="s">
        <v>45</v>
      </c>
      <c r="E2" s="26" t="s">
        <v>52</v>
      </c>
      <c r="F2" s="26">
        <v>1984.089113</v>
      </c>
      <c r="G2" s="26" t="s">
        <v>50</v>
      </c>
      <c r="H2" t="s">
        <v>51</v>
      </c>
    </row>
    <row r="3" spans="1:11" x14ac:dyDescent="0.35">
      <c r="A3" s="29" t="s">
        <v>81</v>
      </c>
      <c r="B3" s="29">
        <f>B1*1000*B2</f>
        <v>231754900</v>
      </c>
      <c r="C3" s="29" t="s">
        <v>54</v>
      </c>
      <c r="E3" s="26" t="e" vm="1">
        <v>#VALUE!</v>
      </c>
      <c r="F3" s="27" cm="1">
        <f t="array" aca="1" ref="F3" ca="1">_FV(E3,"Price")</f>
        <v>1.116E-2</v>
      </c>
      <c r="G3" s="26" t="s">
        <v>54</v>
      </c>
    </row>
    <row r="4" spans="1:11" x14ac:dyDescent="0.35">
      <c r="A4" s="29" t="s">
        <v>82</v>
      </c>
      <c r="B4" s="30">
        <v>0.04</v>
      </c>
      <c r="C4" s="29" t="s">
        <v>117</v>
      </c>
      <c r="E4" s="26" t="s">
        <v>53</v>
      </c>
      <c r="F4" s="28">
        <f ca="1">F2*F3</f>
        <v>22.14243450108</v>
      </c>
      <c r="G4" s="26" t="s">
        <v>33</v>
      </c>
    </row>
    <row r="5" spans="1:11" x14ac:dyDescent="0.35">
      <c r="A5" s="29" t="s">
        <v>83</v>
      </c>
      <c r="B5" s="29">
        <f>B3*B4</f>
        <v>9270196</v>
      </c>
      <c r="C5" s="29" t="s">
        <v>84</v>
      </c>
      <c r="E5" t="s">
        <v>25</v>
      </c>
      <c r="F5">
        <f>F20</f>
        <v>26309.589041095878</v>
      </c>
      <c r="G5" t="s">
        <v>10</v>
      </c>
    </row>
    <row r="6" spans="1:11" x14ac:dyDescent="0.35">
      <c r="A6" s="29" t="s">
        <v>85</v>
      </c>
      <c r="B6" s="29">
        <v>5</v>
      </c>
      <c r="C6" s="29" t="s">
        <v>13</v>
      </c>
      <c r="E6" s="26" t="s">
        <v>98</v>
      </c>
      <c r="F6">
        <f>0.5*F20</f>
        <v>13154.794520547939</v>
      </c>
      <c r="I6" t="s">
        <v>101</v>
      </c>
      <c r="J6">
        <v>8</v>
      </c>
      <c r="K6" t="s">
        <v>100</v>
      </c>
    </row>
    <row r="7" spans="1:11" x14ac:dyDescent="0.35">
      <c r="A7" s="29" t="s">
        <v>86</v>
      </c>
      <c r="B7" s="29">
        <v>6</v>
      </c>
      <c r="C7" s="29" t="s">
        <v>87</v>
      </c>
      <c r="E7" s="8" t="s">
        <v>104</v>
      </c>
      <c r="F7" s="8">
        <f ca="1">0.5*F20*F4</f>
        <v>291279.17604639882</v>
      </c>
      <c r="I7" t="s">
        <v>102</v>
      </c>
      <c r="J7">
        <v>7.1000000000000004E-3</v>
      </c>
      <c r="K7" t="s">
        <v>54</v>
      </c>
    </row>
    <row r="8" spans="1:11" ht="36" x14ac:dyDescent="0.35">
      <c r="A8" s="31" t="s">
        <v>19</v>
      </c>
      <c r="B8" s="32">
        <v>0.05</v>
      </c>
      <c r="C8" s="29"/>
      <c r="E8" s="8" t="s">
        <v>103</v>
      </c>
      <c r="F8" s="8">
        <f>J6*J7*0.5*F5*1000</f>
        <v>747192.32876712293</v>
      </c>
    </row>
    <row r="9" spans="1:11" ht="36" x14ac:dyDescent="0.35">
      <c r="A9" s="31" t="s">
        <v>20</v>
      </c>
      <c r="B9" s="29">
        <v>20</v>
      </c>
      <c r="C9" s="29" t="s">
        <v>16</v>
      </c>
    </row>
    <row r="10" spans="1:11" x14ac:dyDescent="0.35">
      <c r="A10" s="31" t="s">
        <v>22</v>
      </c>
      <c r="B10" s="29">
        <v>100</v>
      </c>
      <c r="C10" s="29" t="s">
        <v>5</v>
      </c>
      <c r="E10" s="1" t="s">
        <v>18</v>
      </c>
      <c r="F10">
        <v>6</v>
      </c>
      <c r="G10" t="s">
        <v>15</v>
      </c>
    </row>
    <row r="11" spans="1:11" ht="36" x14ac:dyDescent="0.35">
      <c r="A11" s="31" t="s">
        <v>24</v>
      </c>
      <c r="B11" s="30">
        <v>0.75</v>
      </c>
      <c r="C11" s="29"/>
      <c r="E11" s="1" t="s">
        <v>19</v>
      </c>
      <c r="F11" s="3">
        <v>0.05</v>
      </c>
    </row>
    <row r="12" spans="1:11" ht="36" x14ac:dyDescent="0.35">
      <c r="A12" s="33" t="s">
        <v>88</v>
      </c>
      <c r="B12" s="34">
        <v>7.65</v>
      </c>
      <c r="C12" s="34" t="s">
        <v>100</v>
      </c>
      <c r="E12" s="1" t="s">
        <v>20</v>
      </c>
      <c r="F12">
        <v>20</v>
      </c>
      <c r="G12" t="s">
        <v>16</v>
      </c>
    </row>
    <row r="13" spans="1:11" x14ac:dyDescent="0.35">
      <c r="A13" s="33" t="s">
        <v>90</v>
      </c>
      <c r="B13" s="34">
        <f>B3*C13</f>
        <v>173816175</v>
      </c>
      <c r="C13" s="35">
        <v>0.75</v>
      </c>
      <c r="E13" s="1" t="s">
        <v>22</v>
      </c>
      <c r="F13">
        <v>100</v>
      </c>
      <c r="G13" t="s">
        <v>5</v>
      </c>
    </row>
    <row r="14" spans="1:11" x14ac:dyDescent="0.35">
      <c r="A14" s="33" t="s">
        <v>91</v>
      </c>
      <c r="B14" s="34">
        <f>B3*C14</f>
        <v>57938725</v>
      </c>
      <c r="C14" s="35">
        <v>0.25</v>
      </c>
      <c r="E14" s="1" t="s">
        <v>24</v>
      </c>
      <c r="F14" s="2">
        <v>0.75</v>
      </c>
    </row>
    <row r="15" spans="1:11" x14ac:dyDescent="0.35">
      <c r="A15" s="33" t="s">
        <v>92</v>
      </c>
      <c r="B15" s="34">
        <f>SUM(B13:B14)</f>
        <v>231754900</v>
      </c>
      <c r="C15" s="34"/>
      <c r="E15" s="1"/>
    </row>
    <row r="16" spans="1:11" x14ac:dyDescent="0.35">
      <c r="A16" s="33" t="s">
        <v>93</v>
      </c>
      <c r="B16" s="35">
        <v>0.15</v>
      </c>
      <c r="C16" s="34"/>
    </row>
    <row r="17" spans="1:32" x14ac:dyDescent="0.35">
      <c r="A17" s="33" t="s">
        <v>94</v>
      </c>
      <c r="B17" s="35">
        <v>0.12</v>
      </c>
      <c r="C17" s="34"/>
      <c r="E17" s="4" t="s">
        <v>17</v>
      </c>
      <c r="F17" s="5">
        <f>((F10*(1-F11)*365)-(F12*24))/8760</f>
        <v>0.18270547945205473</v>
      </c>
    </row>
    <row r="18" spans="1:32" x14ac:dyDescent="0.35">
      <c r="A18" s="33" t="s">
        <v>95</v>
      </c>
      <c r="B18" s="35">
        <v>0.25</v>
      </c>
      <c r="C18" s="35"/>
    </row>
    <row r="19" spans="1:32" x14ac:dyDescent="0.35">
      <c r="A19" s="4" t="s">
        <v>89</v>
      </c>
      <c r="B19" s="25">
        <f>B13/B15 *B16 + B14/B15 * B17*(1-B18)</f>
        <v>0.13499999999999998</v>
      </c>
      <c r="E19" t="s">
        <v>23</v>
      </c>
      <c r="F19">
        <f>F13*F17*1080</f>
        <v>19732.191780821908</v>
      </c>
      <c r="G19" t="s">
        <v>10</v>
      </c>
    </row>
    <row r="20" spans="1:32" x14ac:dyDescent="0.35">
      <c r="A20" s="1"/>
      <c r="E20" t="s">
        <v>99</v>
      </c>
      <c r="F20">
        <f>F19/F14</f>
        <v>26309.589041095878</v>
      </c>
    </row>
    <row r="21" spans="1:32" x14ac:dyDescent="0.35">
      <c r="A21" s="1"/>
    </row>
    <row r="22" spans="1:32" x14ac:dyDescent="0.35">
      <c r="B22" t="s">
        <v>28</v>
      </c>
    </row>
    <row r="23" spans="1:32" x14ac:dyDescent="0.35">
      <c r="B23">
        <v>0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M23">
        <v>11</v>
      </c>
      <c r="N23">
        <v>12</v>
      </c>
      <c r="O23">
        <v>13</v>
      </c>
      <c r="P23">
        <v>14</v>
      </c>
      <c r="Q23">
        <v>15</v>
      </c>
      <c r="R23">
        <v>16</v>
      </c>
      <c r="S23">
        <v>17</v>
      </c>
      <c r="T23">
        <v>18</v>
      </c>
      <c r="U23">
        <v>19</v>
      </c>
      <c r="V23">
        <v>20</v>
      </c>
      <c r="W23">
        <v>21</v>
      </c>
      <c r="X23">
        <v>22</v>
      </c>
      <c r="Y23">
        <v>23</v>
      </c>
      <c r="Z23">
        <v>24</v>
      </c>
      <c r="AA23">
        <v>25</v>
      </c>
      <c r="AB23">
        <v>26</v>
      </c>
      <c r="AC23">
        <v>27</v>
      </c>
      <c r="AD23">
        <v>28</v>
      </c>
      <c r="AE23">
        <v>29</v>
      </c>
      <c r="AF23">
        <v>30</v>
      </c>
    </row>
    <row r="24" spans="1:32" x14ac:dyDescent="0.35">
      <c r="A24" t="s">
        <v>77</v>
      </c>
      <c r="B24" s="7">
        <f>B3</f>
        <v>231754900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f>$B$5</f>
        <v>9270196</v>
      </c>
      <c r="I25">
        <f t="shared" ref="I25:AF25" si="0">$B$5</f>
        <v>9270196</v>
      </c>
      <c r="J25">
        <f t="shared" si="0"/>
        <v>9270196</v>
      </c>
      <c r="K25">
        <f t="shared" si="0"/>
        <v>9270196</v>
      </c>
      <c r="L25">
        <f t="shared" si="0"/>
        <v>9270196</v>
      </c>
      <c r="M25">
        <f t="shared" si="0"/>
        <v>9270196</v>
      </c>
      <c r="N25">
        <f t="shared" si="0"/>
        <v>9270196</v>
      </c>
      <c r="O25">
        <f t="shared" si="0"/>
        <v>9270196</v>
      </c>
      <c r="P25">
        <f t="shared" si="0"/>
        <v>9270196</v>
      </c>
      <c r="Q25">
        <f t="shared" si="0"/>
        <v>9270196</v>
      </c>
      <c r="R25">
        <f t="shared" si="0"/>
        <v>9270196</v>
      </c>
      <c r="S25">
        <f t="shared" si="0"/>
        <v>9270196</v>
      </c>
      <c r="T25">
        <f t="shared" si="0"/>
        <v>9270196</v>
      </c>
      <c r="U25">
        <f t="shared" si="0"/>
        <v>9270196</v>
      </c>
      <c r="V25">
        <f t="shared" si="0"/>
        <v>9270196</v>
      </c>
      <c r="W25">
        <f t="shared" si="0"/>
        <v>9270196</v>
      </c>
      <c r="X25">
        <f t="shared" si="0"/>
        <v>9270196</v>
      </c>
      <c r="Y25">
        <f t="shared" si="0"/>
        <v>9270196</v>
      </c>
      <c r="Z25">
        <f t="shared" si="0"/>
        <v>9270196</v>
      </c>
      <c r="AA25">
        <f t="shared" si="0"/>
        <v>9270196</v>
      </c>
      <c r="AB25">
        <f t="shared" si="0"/>
        <v>9270196</v>
      </c>
      <c r="AC25">
        <f t="shared" si="0"/>
        <v>9270196</v>
      </c>
      <c r="AD25">
        <f t="shared" si="0"/>
        <v>9270196</v>
      </c>
      <c r="AE25">
        <f t="shared" si="0"/>
        <v>9270196</v>
      </c>
      <c r="AF25">
        <f t="shared" si="0"/>
        <v>9270196</v>
      </c>
    </row>
    <row r="26" spans="1:32" x14ac:dyDescent="0.35">
      <c r="A26" t="s">
        <v>74</v>
      </c>
      <c r="B26">
        <f>1/(1+$B$19)^B23</f>
        <v>1</v>
      </c>
      <c r="C26">
        <f t="shared" ref="C26:AF26" si="1">1/(1+$B$19)^C23</f>
        <v>0.88105726872246692</v>
      </c>
      <c r="D26">
        <f t="shared" si="1"/>
        <v>0.77626191076869333</v>
      </c>
      <c r="E26">
        <f t="shared" si="1"/>
        <v>0.68393119891514842</v>
      </c>
      <c r="F26">
        <f t="shared" si="1"/>
        <v>0.60258255411026285</v>
      </c>
      <c r="G26">
        <f t="shared" si="1"/>
        <v>0.53090973930419638</v>
      </c>
      <c r="H26">
        <f t="shared" si="1"/>
        <v>0.4677618848495122</v>
      </c>
      <c r="I26">
        <f t="shared" si="1"/>
        <v>0.41212500867798435</v>
      </c>
      <c r="J26">
        <f t="shared" si="1"/>
        <v>0.3631057345180479</v>
      </c>
      <c r="K26">
        <f t="shared" si="1"/>
        <v>0.31991694671193649</v>
      </c>
      <c r="L26">
        <f t="shared" si="1"/>
        <v>0.28186515128804979</v>
      </c>
      <c r="M26">
        <f t="shared" si="1"/>
        <v>0.24833934034189409</v>
      </c>
      <c r="N26">
        <f t="shared" si="1"/>
        <v>0.21880118091796832</v>
      </c>
      <c r="O26">
        <f t="shared" si="1"/>
        <v>0.19277637085283555</v>
      </c>
      <c r="P26">
        <f t="shared" si="1"/>
        <v>0.16984702277782865</v>
      </c>
      <c r="Q26">
        <f t="shared" si="1"/>
        <v>0.14964495398927638</v>
      </c>
      <c r="R26">
        <f t="shared" si="1"/>
        <v>0.13184577443989109</v>
      </c>
      <c r="S26">
        <f t="shared" si="1"/>
        <v>0.11616367792060887</v>
      </c>
      <c r="T26">
        <f t="shared" si="1"/>
        <v>0.102346852793488</v>
      </c>
      <c r="U26">
        <f t="shared" si="1"/>
        <v>9.0173438584570942E-2</v>
      </c>
      <c r="V26">
        <f t="shared" si="1"/>
        <v>7.9447963510635183E-2</v>
      </c>
      <c r="W26">
        <f t="shared" si="1"/>
        <v>6.999820573624245E-2</v>
      </c>
      <c r="X26">
        <f t="shared" si="1"/>
        <v>6.1672427961447097E-2</v>
      </c>
      <c r="Y26">
        <f t="shared" si="1"/>
        <v>5.4336940935195678E-2</v>
      </c>
      <c r="Z26">
        <f t="shared" si="1"/>
        <v>4.7873956771097514E-2</v>
      </c>
      <c r="AA26">
        <f t="shared" si="1"/>
        <v>4.2179697595680632E-2</v>
      </c>
      <c r="AB26">
        <f t="shared" si="1"/>
        <v>3.7162729159189986E-2</v>
      </c>
      <c r="AC26">
        <f t="shared" si="1"/>
        <v>3.2742492651268711E-2</v>
      </c>
      <c r="AD26">
        <f t="shared" si="1"/>
        <v>2.8848011146492256E-2</v>
      </c>
      <c r="AE26">
        <f t="shared" si="1"/>
        <v>2.5416749908803746E-2</v>
      </c>
      <c r="AF26">
        <f t="shared" si="1"/>
        <v>2.239361225445264E-2</v>
      </c>
    </row>
    <row r="27" spans="1:32" x14ac:dyDescent="0.35">
      <c r="A27" t="s">
        <v>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f>$F$8</f>
        <v>747192.32876712293</v>
      </c>
      <c r="I27">
        <f t="shared" ref="I27:AF27" si="2">$F$8</f>
        <v>747192.32876712293</v>
      </c>
      <c r="J27">
        <f t="shared" si="2"/>
        <v>747192.32876712293</v>
      </c>
      <c r="K27">
        <f t="shared" si="2"/>
        <v>747192.32876712293</v>
      </c>
      <c r="L27">
        <f t="shared" si="2"/>
        <v>747192.32876712293</v>
      </c>
      <c r="M27">
        <f t="shared" si="2"/>
        <v>747192.32876712293</v>
      </c>
      <c r="N27">
        <f t="shared" si="2"/>
        <v>747192.32876712293</v>
      </c>
      <c r="O27">
        <f t="shared" si="2"/>
        <v>747192.32876712293</v>
      </c>
      <c r="P27">
        <f t="shared" si="2"/>
        <v>747192.32876712293</v>
      </c>
      <c r="Q27">
        <f t="shared" si="2"/>
        <v>747192.32876712293</v>
      </c>
      <c r="R27">
        <f t="shared" si="2"/>
        <v>747192.32876712293</v>
      </c>
      <c r="S27">
        <f t="shared" si="2"/>
        <v>747192.32876712293</v>
      </c>
      <c r="T27">
        <f t="shared" si="2"/>
        <v>747192.32876712293</v>
      </c>
      <c r="U27">
        <f t="shared" si="2"/>
        <v>747192.32876712293</v>
      </c>
      <c r="V27">
        <f t="shared" si="2"/>
        <v>747192.32876712293</v>
      </c>
      <c r="W27">
        <f t="shared" si="2"/>
        <v>747192.32876712293</v>
      </c>
      <c r="X27">
        <f t="shared" si="2"/>
        <v>747192.32876712293</v>
      </c>
      <c r="Y27">
        <f t="shared" si="2"/>
        <v>747192.32876712293</v>
      </c>
      <c r="Z27">
        <f t="shared" si="2"/>
        <v>747192.32876712293</v>
      </c>
      <c r="AA27">
        <f t="shared" si="2"/>
        <v>747192.32876712293</v>
      </c>
      <c r="AB27">
        <f t="shared" si="2"/>
        <v>747192.32876712293</v>
      </c>
      <c r="AC27">
        <f t="shared" si="2"/>
        <v>747192.32876712293</v>
      </c>
      <c r="AD27">
        <f t="shared" si="2"/>
        <v>747192.32876712293</v>
      </c>
      <c r="AE27">
        <f t="shared" si="2"/>
        <v>747192.32876712293</v>
      </c>
      <c r="AF27">
        <f t="shared" si="2"/>
        <v>747192.32876712293</v>
      </c>
    </row>
    <row r="28" spans="1:32" x14ac:dyDescent="0.35">
      <c r="A28" t="s">
        <v>97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f ca="1">$F$7</f>
        <v>291279.17604639882</v>
      </c>
      <c r="I28">
        <f t="shared" ref="I28:AF28" ca="1" si="3">$F$7</f>
        <v>291279.17604639882</v>
      </c>
      <c r="J28">
        <f t="shared" ca="1" si="3"/>
        <v>291279.17604639882</v>
      </c>
      <c r="K28">
        <f t="shared" ca="1" si="3"/>
        <v>291279.17604639882</v>
      </c>
      <c r="L28">
        <f t="shared" ca="1" si="3"/>
        <v>291279.17604639882</v>
      </c>
      <c r="M28">
        <f t="shared" ca="1" si="3"/>
        <v>291279.17604639882</v>
      </c>
      <c r="N28">
        <f t="shared" ca="1" si="3"/>
        <v>291279.17604639882</v>
      </c>
      <c r="O28">
        <f t="shared" ca="1" si="3"/>
        <v>291279.17604639882</v>
      </c>
      <c r="P28">
        <f t="shared" ca="1" si="3"/>
        <v>291279.17604639882</v>
      </c>
      <c r="Q28">
        <f t="shared" ca="1" si="3"/>
        <v>291279.17604639882</v>
      </c>
      <c r="R28">
        <f t="shared" ca="1" si="3"/>
        <v>291279.17604639882</v>
      </c>
      <c r="S28">
        <f t="shared" ca="1" si="3"/>
        <v>291279.17604639882</v>
      </c>
      <c r="T28">
        <f t="shared" ca="1" si="3"/>
        <v>291279.17604639882</v>
      </c>
      <c r="U28">
        <f t="shared" ca="1" si="3"/>
        <v>291279.17604639882</v>
      </c>
      <c r="V28">
        <f t="shared" ca="1" si="3"/>
        <v>291279.17604639882</v>
      </c>
      <c r="W28">
        <f t="shared" ca="1" si="3"/>
        <v>291279.17604639882</v>
      </c>
      <c r="X28">
        <f t="shared" ca="1" si="3"/>
        <v>291279.17604639882</v>
      </c>
      <c r="Y28">
        <f t="shared" ca="1" si="3"/>
        <v>291279.17604639882</v>
      </c>
      <c r="Z28">
        <f t="shared" ca="1" si="3"/>
        <v>291279.17604639882</v>
      </c>
      <c r="AA28">
        <f t="shared" ca="1" si="3"/>
        <v>291279.17604639882</v>
      </c>
      <c r="AB28">
        <f t="shared" ca="1" si="3"/>
        <v>291279.17604639882</v>
      </c>
      <c r="AC28">
        <f t="shared" ca="1" si="3"/>
        <v>291279.17604639882</v>
      </c>
      <c r="AD28">
        <f t="shared" ca="1" si="3"/>
        <v>291279.17604639882</v>
      </c>
      <c r="AE28">
        <f t="shared" ca="1" si="3"/>
        <v>291279.17604639882</v>
      </c>
      <c r="AF28">
        <f t="shared" ca="1" si="3"/>
        <v>291279.17604639882</v>
      </c>
    </row>
    <row r="29" spans="1:32" x14ac:dyDescent="0.35">
      <c r="A29" t="s">
        <v>110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f>0.5*$F$19</f>
        <v>9866.0958904109539</v>
      </c>
      <c r="I29">
        <f t="shared" ref="I29:AF30" si="4">0.5*$F$19</f>
        <v>9866.0958904109539</v>
      </c>
      <c r="J29">
        <f t="shared" si="4"/>
        <v>9866.0958904109539</v>
      </c>
      <c r="K29">
        <f t="shared" si="4"/>
        <v>9866.0958904109539</v>
      </c>
      <c r="L29">
        <f t="shared" si="4"/>
        <v>9866.0958904109539</v>
      </c>
      <c r="M29">
        <f t="shared" si="4"/>
        <v>9866.0958904109539</v>
      </c>
      <c r="N29">
        <f t="shared" si="4"/>
        <v>9866.0958904109539</v>
      </c>
      <c r="O29">
        <f t="shared" si="4"/>
        <v>9866.0958904109539</v>
      </c>
      <c r="P29">
        <f t="shared" si="4"/>
        <v>9866.0958904109539</v>
      </c>
      <c r="Q29">
        <f t="shared" si="4"/>
        <v>9866.0958904109539</v>
      </c>
      <c r="R29">
        <f t="shared" si="4"/>
        <v>9866.0958904109539</v>
      </c>
      <c r="S29">
        <f t="shared" si="4"/>
        <v>9866.0958904109539</v>
      </c>
      <c r="T29">
        <f t="shared" si="4"/>
        <v>9866.0958904109539</v>
      </c>
      <c r="U29">
        <f t="shared" si="4"/>
        <v>9866.0958904109539</v>
      </c>
      <c r="V29">
        <f t="shared" si="4"/>
        <v>9866.0958904109539</v>
      </c>
      <c r="W29">
        <f t="shared" si="4"/>
        <v>9866.0958904109539</v>
      </c>
      <c r="X29">
        <f t="shared" si="4"/>
        <v>9866.0958904109539</v>
      </c>
      <c r="Y29">
        <f t="shared" si="4"/>
        <v>9866.0958904109539</v>
      </c>
      <c r="Z29">
        <f t="shared" si="4"/>
        <v>9866.0958904109539</v>
      </c>
      <c r="AA29">
        <f t="shared" si="4"/>
        <v>9866.0958904109539</v>
      </c>
      <c r="AB29">
        <f t="shared" si="4"/>
        <v>9866.0958904109539</v>
      </c>
      <c r="AC29">
        <f t="shared" si="4"/>
        <v>9866.0958904109539</v>
      </c>
      <c r="AD29">
        <f t="shared" si="4"/>
        <v>9866.0958904109539</v>
      </c>
      <c r="AE29">
        <f t="shared" si="4"/>
        <v>9866.0958904109539</v>
      </c>
      <c r="AF29">
        <f t="shared" si="4"/>
        <v>9866.0958904109539</v>
      </c>
    </row>
    <row r="30" spans="1:32" x14ac:dyDescent="0.35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f>0.5*$F$19</f>
        <v>9866.0958904109539</v>
      </c>
      <c r="I30">
        <f t="shared" si="4"/>
        <v>9866.0958904109539</v>
      </c>
      <c r="J30">
        <f t="shared" si="4"/>
        <v>9866.0958904109539</v>
      </c>
      <c r="K30">
        <f t="shared" si="4"/>
        <v>9866.0958904109539</v>
      </c>
      <c r="L30">
        <f t="shared" si="4"/>
        <v>9866.0958904109539</v>
      </c>
      <c r="M30">
        <f t="shared" si="4"/>
        <v>9866.0958904109539</v>
      </c>
      <c r="N30">
        <f t="shared" si="4"/>
        <v>9866.0958904109539</v>
      </c>
      <c r="O30">
        <f t="shared" si="4"/>
        <v>9866.0958904109539</v>
      </c>
      <c r="P30">
        <f t="shared" si="4"/>
        <v>9866.0958904109539</v>
      </c>
      <c r="Q30">
        <f t="shared" si="4"/>
        <v>9866.0958904109539</v>
      </c>
      <c r="R30">
        <f t="shared" si="4"/>
        <v>9866.0958904109539</v>
      </c>
      <c r="S30">
        <f t="shared" si="4"/>
        <v>9866.0958904109539</v>
      </c>
      <c r="T30">
        <f t="shared" si="4"/>
        <v>9866.0958904109539</v>
      </c>
      <c r="U30">
        <f t="shared" si="4"/>
        <v>9866.0958904109539</v>
      </c>
      <c r="V30">
        <f t="shared" si="4"/>
        <v>9866.0958904109539</v>
      </c>
      <c r="W30">
        <f t="shared" si="4"/>
        <v>9866.0958904109539</v>
      </c>
      <c r="X30">
        <f t="shared" si="4"/>
        <v>9866.0958904109539</v>
      </c>
      <c r="Y30">
        <f t="shared" si="4"/>
        <v>9866.0958904109539</v>
      </c>
      <c r="Z30">
        <f t="shared" si="4"/>
        <v>9866.0958904109539</v>
      </c>
      <c r="AA30">
        <f t="shared" si="4"/>
        <v>9866.0958904109539</v>
      </c>
      <c r="AB30">
        <f t="shared" si="4"/>
        <v>9866.0958904109539</v>
      </c>
      <c r="AC30">
        <f t="shared" si="4"/>
        <v>9866.0958904109539</v>
      </c>
      <c r="AD30">
        <f t="shared" si="4"/>
        <v>9866.0958904109539</v>
      </c>
      <c r="AE30">
        <f t="shared" si="4"/>
        <v>9866.0958904109539</v>
      </c>
      <c r="AF30">
        <f t="shared" si="4"/>
        <v>9866.0958904109539</v>
      </c>
    </row>
    <row r="32" spans="1:32" x14ac:dyDescent="0.35">
      <c r="A32" t="s">
        <v>112</v>
      </c>
      <c r="B32">
        <f>SUM(B24:B25,B27)/(1+$B$19)^B23</f>
        <v>231754900</v>
      </c>
      <c r="C32">
        <f t="shared" ref="C32:AF32" si="5">SUM(C24:C25,C27)/(1+$B$19)^C23</f>
        <v>0</v>
      </c>
      <c r="D32">
        <f t="shared" si="5"/>
        <v>0</v>
      </c>
      <c r="E32">
        <f t="shared" si="5"/>
        <v>0</v>
      </c>
      <c r="F32">
        <f t="shared" si="5"/>
        <v>0</v>
      </c>
      <c r="G32">
        <f t="shared" si="5"/>
        <v>0</v>
      </c>
      <c r="H32">
        <f t="shared" si="5"/>
        <v>4685752.4459336139</v>
      </c>
      <c r="I32">
        <f t="shared" si="5"/>
        <v>4128416.2519238894</v>
      </c>
      <c r="J32">
        <f t="shared" si="5"/>
        <v>3637371.1470695063</v>
      </c>
      <c r="K32">
        <f t="shared" si="5"/>
        <v>3204732.2881669658</v>
      </c>
      <c r="L32">
        <f t="shared" si="5"/>
        <v>2823552.6767990892</v>
      </c>
      <c r="M32">
        <f t="shared" si="5"/>
        <v>2487711.609514616</v>
      </c>
      <c r="N32">
        <f t="shared" si="5"/>
        <v>2191816.3960481198</v>
      </c>
      <c r="O32">
        <f t="shared" si="5"/>
        <v>1931115.7674432774</v>
      </c>
      <c r="P32">
        <f t="shared" si="5"/>
        <v>1701423.5836504644</v>
      </c>
      <c r="Q32">
        <f t="shared" si="5"/>
        <v>1499051.6155510701</v>
      </c>
      <c r="R32">
        <f t="shared" si="5"/>
        <v>1320750.3220714275</v>
      </c>
      <c r="S32">
        <f t="shared" si="5"/>
        <v>1163656.6714285705</v>
      </c>
      <c r="T32">
        <f t="shared" si="5"/>
        <v>1025248.1686595335</v>
      </c>
      <c r="U32">
        <f t="shared" si="5"/>
        <v>903302.35124187986</v>
      </c>
      <c r="V32">
        <f t="shared" si="5"/>
        <v>795861.10241575318</v>
      </c>
      <c r="W32">
        <f t="shared" si="5"/>
        <v>701199.20917687507</v>
      </c>
      <c r="X32">
        <f t="shared" si="5"/>
        <v>617796.66006773128</v>
      </c>
      <c r="Y32">
        <f t="shared" si="5"/>
        <v>544314.23794513766</v>
      </c>
      <c r="Z32">
        <f t="shared" si="5"/>
        <v>479572.01581069402</v>
      </c>
      <c r="AA32">
        <f t="shared" si="5"/>
        <v>422530.41040589783</v>
      </c>
      <c r="AB32">
        <f t="shared" si="5"/>
        <v>372273.48934440338</v>
      </c>
      <c r="AC32">
        <f t="shared" si="5"/>
        <v>327994.26373956248</v>
      </c>
      <c r="AD32">
        <f t="shared" si="5"/>
        <v>288981.7301670154</v>
      </c>
      <c r="AE32">
        <f t="shared" si="5"/>
        <v>254609.45389164347</v>
      </c>
      <c r="AF32">
        <f t="shared" si="5"/>
        <v>224325.51003669031</v>
      </c>
    </row>
    <row r="33" spans="1:32" x14ac:dyDescent="0.35">
      <c r="A33" t="s">
        <v>113</v>
      </c>
      <c r="B33">
        <f>SUM(B24:B25,B28)/(1+$B$19)^B23</f>
        <v>231754900</v>
      </c>
      <c r="C33">
        <f t="shared" ref="C33:AF33" si="6">SUM(C24:C25,C28)/(1+$B$19)^C23</f>
        <v>0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0</v>
      </c>
      <c r="H33">
        <f t="shared" ca="1" si="6"/>
        <v>4472493.650289285</v>
      </c>
      <c r="I33">
        <f t="shared" ca="1" si="6"/>
        <v>3940523.0399024542</v>
      </c>
      <c r="J33">
        <f t="shared" ca="1" si="6"/>
        <v>3471826.466874409</v>
      </c>
      <c r="K33">
        <f t="shared" ca="1" si="6"/>
        <v>3058877.9443827393</v>
      </c>
      <c r="L33">
        <f t="shared" ca="1" si="6"/>
        <v>2695046.6470332509</v>
      </c>
      <c r="M33">
        <f t="shared" ca="1" si="6"/>
        <v>2374490.4379147585</v>
      </c>
      <c r="N33">
        <f t="shared" ca="1" si="6"/>
        <v>2092062.0598367914</v>
      </c>
      <c r="O33">
        <f t="shared" ca="1" si="6"/>
        <v>1843226.4844377018</v>
      </c>
      <c r="P33">
        <f t="shared" ca="1" si="6"/>
        <v>1623988.0920155961</v>
      </c>
      <c r="Q33">
        <f t="shared" ca="1" si="6"/>
        <v>1430826.5127890715</v>
      </c>
      <c r="R33">
        <f t="shared" ca="1" si="6"/>
        <v>1260640.0993736314</v>
      </c>
      <c r="S33">
        <f t="shared" ca="1" si="6"/>
        <v>1110696.1227961511</v>
      </c>
      <c r="T33">
        <f t="shared" ca="1" si="6"/>
        <v>978586.89233141055</v>
      </c>
      <c r="U33">
        <f t="shared" ca="1" si="6"/>
        <v>862191.09456511959</v>
      </c>
      <c r="V33">
        <f t="shared" ca="1" si="6"/>
        <v>759639.7308943785</v>
      </c>
      <c r="W33">
        <f t="shared" ca="1" si="6"/>
        <v>669286.10651487089</v>
      </c>
      <c r="X33">
        <f t="shared" ca="1" si="6"/>
        <v>589679.38899988623</v>
      </c>
      <c r="Y33">
        <f t="shared" ca="1" si="6"/>
        <v>519541.31189417286</v>
      </c>
      <c r="Z33">
        <f t="shared" ca="1" si="6"/>
        <v>457745.64924596733</v>
      </c>
      <c r="AA33">
        <f t="shared" ca="1" si="6"/>
        <v>403300.13149424439</v>
      </c>
      <c r="AB33">
        <f t="shared" ca="1" si="6"/>
        <v>355330.51232973073</v>
      </c>
      <c r="AC33">
        <f t="shared" ca="1" si="6"/>
        <v>313066.53068698745</v>
      </c>
      <c r="AD33">
        <f t="shared" ca="1" si="6"/>
        <v>275829.54245549551</v>
      </c>
      <c r="AE33">
        <f t="shared" ca="1" si="6"/>
        <v>243021.62330880662</v>
      </c>
      <c r="AF33">
        <f t="shared" ca="1" si="6"/>
        <v>214115.96767295737</v>
      </c>
    </row>
    <row r="35" spans="1:32" x14ac:dyDescent="0.35">
      <c r="A35" t="s">
        <v>114</v>
      </c>
      <c r="B35">
        <f>B29/B26</f>
        <v>0</v>
      </c>
      <c r="C35">
        <f t="shared" ref="C35:AF35" si="7">C29/C26</f>
        <v>0</v>
      </c>
      <c r="D35">
        <f t="shared" si="7"/>
        <v>0</v>
      </c>
      <c r="E35">
        <f t="shared" si="7"/>
        <v>0</v>
      </c>
      <c r="F35">
        <f t="shared" si="7"/>
        <v>0</v>
      </c>
      <c r="G35">
        <f t="shared" si="7"/>
        <v>0</v>
      </c>
      <c r="H35">
        <f t="shared" si="7"/>
        <v>21092.133006059401</v>
      </c>
      <c r="I35">
        <f t="shared" si="7"/>
        <v>23939.57096187742</v>
      </c>
      <c r="J35">
        <f t="shared" si="7"/>
        <v>27171.41304173087</v>
      </c>
      <c r="K35">
        <f t="shared" si="7"/>
        <v>30839.553802364539</v>
      </c>
      <c r="L35">
        <f t="shared" si="7"/>
        <v>35002.893565683749</v>
      </c>
      <c r="M35">
        <f t="shared" si="7"/>
        <v>39728.284197051056</v>
      </c>
      <c r="N35">
        <f t="shared" si="7"/>
        <v>45091.602563652952</v>
      </c>
      <c r="O35">
        <f t="shared" si="7"/>
        <v>51178.968909746094</v>
      </c>
      <c r="P35">
        <f t="shared" si="7"/>
        <v>58088.129712561829</v>
      </c>
      <c r="Q35">
        <f t="shared" si="7"/>
        <v>65930.027223757657</v>
      </c>
      <c r="R35">
        <f t="shared" si="7"/>
        <v>74830.580898964938</v>
      </c>
      <c r="S35">
        <f t="shared" si="7"/>
        <v>84932.709320325215</v>
      </c>
      <c r="T35">
        <f t="shared" si="7"/>
        <v>96398.625078569123</v>
      </c>
      <c r="U35">
        <f t="shared" si="7"/>
        <v>109412.43946417593</v>
      </c>
      <c r="V35">
        <f t="shared" si="7"/>
        <v>124183.11879183969</v>
      </c>
      <c r="W35">
        <f t="shared" si="7"/>
        <v>140947.83982873804</v>
      </c>
      <c r="X35">
        <f t="shared" si="7"/>
        <v>159975.79820561767</v>
      </c>
      <c r="Y35">
        <f t="shared" si="7"/>
        <v>181572.53096337608</v>
      </c>
      <c r="Z35">
        <f t="shared" si="7"/>
        <v>206084.82264343183</v>
      </c>
      <c r="AA35">
        <f t="shared" si="7"/>
        <v>233906.27370029513</v>
      </c>
      <c r="AB35">
        <f t="shared" si="7"/>
        <v>265483.62064983492</v>
      </c>
      <c r="AC35">
        <f t="shared" si="7"/>
        <v>301323.90943756269</v>
      </c>
      <c r="AD35">
        <f t="shared" si="7"/>
        <v>342002.63721163361</v>
      </c>
      <c r="AE35">
        <f t="shared" si="7"/>
        <v>388172.99323520419</v>
      </c>
      <c r="AF35">
        <f t="shared" si="7"/>
        <v>440576.34732195677</v>
      </c>
    </row>
    <row r="36" spans="1:32" x14ac:dyDescent="0.35">
      <c r="A36" t="s">
        <v>115</v>
      </c>
      <c r="B36">
        <f>B30/B26</f>
        <v>0</v>
      </c>
      <c r="C36">
        <f t="shared" ref="C36:AF36" si="8">C30/C26</f>
        <v>0</v>
      </c>
      <c r="D36">
        <f t="shared" si="8"/>
        <v>0</v>
      </c>
      <c r="E36">
        <f t="shared" si="8"/>
        <v>0</v>
      </c>
      <c r="F36">
        <f t="shared" si="8"/>
        <v>0</v>
      </c>
      <c r="G36">
        <f t="shared" si="8"/>
        <v>0</v>
      </c>
      <c r="H36">
        <f t="shared" si="8"/>
        <v>21092.133006059401</v>
      </c>
      <c r="I36">
        <f t="shared" si="8"/>
        <v>23939.57096187742</v>
      </c>
      <c r="J36">
        <f t="shared" si="8"/>
        <v>27171.41304173087</v>
      </c>
      <c r="K36">
        <f t="shared" si="8"/>
        <v>30839.553802364539</v>
      </c>
      <c r="L36">
        <f t="shared" si="8"/>
        <v>35002.893565683749</v>
      </c>
      <c r="M36">
        <f t="shared" si="8"/>
        <v>39728.284197051056</v>
      </c>
      <c r="N36">
        <f t="shared" si="8"/>
        <v>45091.602563652952</v>
      </c>
      <c r="O36">
        <f t="shared" si="8"/>
        <v>51178.968909746094</v>
      </c>
      <c r="P36">
        <f t="shared" si="8"/>
        <v>58088.129712561829</v>
      </c>
      <c r="Q36">
        <f t="shared" si="8"/>
        <v>65930.027223757657</v>
      </c>
      <c r="R36">
        <f t="shared" si="8"/>
        <v>74830.580898964938</v>
      </c>
      <c r="S36">
        <f t="shared" si="8"/>
        <v>84932.709320325215</v>
      </c>
      <c r="T36">
        <f t="shared" si="8"/>
        <v>96398.625078569123</v>
      </c>
      <c r="U36">
        <f t="shared" si="8"/>
        <v>109412.43946417593</v>
      </c>
      <c r="V36">
        <f t="shared" si="8"/>
        <v>124183.11879183969</v>
      </c>
      <c r="W36">
        <f t="shared" si="8"/>
        <v>140947.83982873804</v>
      </c>
      <c r="X36">
        <f t="shared" si="8"/>
        <v>159975.79820561767</v>
      </c>
      <c r="Y36">
        <f t="shared" si="8"/>
        <v>181572.53096337608</v>
      </c>
      <c r="Z36">
        <f t="shared" si="8"/>
        <v>206084.82264343183</v>
      </c>
      <c r="AA36">
        <f t="shared" si="8"/>
        <v>233906.27370029513</v>
      </c>
      <c r="AB36">
        <f t="shared" si="8"/>
        <v>265483.62064983492</v>
      </c>
      <c r="AC36">
        <f t="shared" si="8"/>
        <v>301323.90943756269</v>
      </c>
      <c r="AD36">
        <f t="shared" si="8"/>
        <v>342002.63721163361</v>
      </c>
      <c r="AE36">
        <f t="shared" si="8"/>
        <v>388172.99323520419</v>
      </c>
      <c r="AF36">
        <f t="shared" si="8"/>
        <v>440576.34732195677</v>
      </c>
    </row>
    <row r="38" spans="1:32" x14ac:dyDescent="0.35">
      <c r="A38" s="8" t="s">
        <v>105</v>
      </c>
      <c r="B38" s="8">
        <f>SUM(B32:BJ32)</f>
        <v>269488259.3785035</v>
      </c>
      <c r="C38" s="8"/>
    </row>
    <row r="39" spans="1:32" x14ac:dyDescent="0.35">
      <c r="A39" s="8" t="s">
        <v>106</v>
      </c>
      <c r="B39" s="8">
        <f>SUM(B35:BJ35)</f>
        <v>3547866.8237360115</v>
      </c>
      <c r="C39" s="8"/>
    </row>
    <row r="40" spans="1:32" x14ac:dyDescent="0.35">
      <c r="A40" s="8" t="s">
        <v>107</v>
      </c>
      <c r="B40" s="8">
        <f>B38/B39</f>
        <v>75.957828398621842</v>
      </c>
      <c r="C40" s="8" t="s">
        <v>33</v>
      </c>
      <c r="E40">
        <f>B40*(1/$J$7)</f>
        <v>10698.285689946737</v>
      </c>
      <c r="F40" t="s">
        <v>50</v>
      </c>
      <c r="G40">
        <f>E40/1000</f>
        <v>10.698285689946736</v>
      </c>
      <c r="H40" t="s">
        <v>100</v>
      </c>
    </row>
    <row r="42" spans="1:32" x14ac:dyDescent="0.35">
      <c r="A42" s="8" t="s">
        <v>108</v>
      </c>
      <c r="B42" s="8">
        <f ca="1">SUM(B33:BJ33)</f>
        <v>267770932.0400399</v>
      </c>
      <c r="C42" s="8"/>
    </row>
    <row r="43" spans="1:32" x14ac:dyDescent="0.35">
      <c r="A43" s="8" t="s">
        <v>109</v>
      </c>
      <c r="B43" s="8">
        <f>SUM(B36:BJ36)</f>
        <v>3547866.8237360115</v>
      </c>
      <c r="C43" s="8"/>
    </row>
    <row r="44" spans="1:32" x14ac:dyDescent="0.35">
      <c r="A44" s="8" t="s">
        <v>116</v>
      </c>
      <c r="B44" s="8">
        <f ca="1">B42/B43</f>
        <v>75.473783358663098</v>
      </c>
      <c r="C44" s="8" t="s">
        <v>33</v>
      </c>
      <c r="E44">
        <f t="shared" ref="E44" ca="1" si="9">B44*(1/$J$7)</f>
        <v>10630.11033220607</v>
      </c>
      <c r="F44" t="s">
        <v>50</v>
      </c>
      <c r="G44">
        <f ca="1">E44/1000</f>
        <v>10.630110332206069</v>
      </c>
      <c r="H44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1880-1EF9-4803-855C-681C54BD6F68}">
  <dimension ref="A1:B6"/>
  <sheetViews>
    <sheetView workbookViewId="0">
      <selection activeCell="J9" sqref="J9"/>
    </sheetView>
  </sheetViews>
  <sheetFormatPr defaultRowHeight="18" x14ac:dyDescent="0.35"/>
  <sheetData>
    <row r="1" spans="1:2" x14ac:dyDescent="0.35">
      <c r="A1" s="36">
        <v>14</v>
      </c>
      <c r="B1" s="37">
        <v>1767.0241940000001</v>
      </c>
    </row>
    <row r="2" spans="1:2" x14ac:dyDescent="0.35">
      <c r="A2" s="36">
        <v>13</v>
      </c>
      <c r="B2" s="37">
        <v>1869.6764519999999</v>
      </c>
    </row>
    <row r="3" spans="1:2" x14ac:dyDescent="0.35">
      <c r="A3" s="36">
        <v>12</v>
      </c>
      <c r="B3" s="37">
        <v>1947.6928230000001</v>
      </c>
    </row>
    <row r="4" spans="1:2" x14ac:dyDescent="0.35">
      <c r="A4" s="36">
        <v>11</v>
      </c>
      <c r="B4" s="37">
        <v>1987.4964520000001</v>
      </c>
    </row>
    <row r="5" spans="1:2" x14ac:dyDescent="0.35">
      <c r="A5" s="36">
        <v>15</v>
      </c>
      <c r="B5" s="37">
        <v>2086.835</v>
      </c>
    </row>
    <row r="6" spans="1:2" x14ac:dyDescent="0.35">
      <c r="A6" s="36">
        <v>10</v>
      </c>
      <c r="B6" s="37">
        <v>2245.8097579999999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7426-4197-4EE7-87B8-BB1C07D21487}">
  <dimension ref="A1:F6"/>
  <sheetViews>
    <sheetView workbookViewId="0">
      <selection activeCell="F5" sqref="F5"/>
    </sheetView>
  </sheetViews>
  <sheetFormatPr defaultRowHeight="18" x14ac:dyDescent="0.35"/>
  <sheetData>
    <row r="1" spans="1:6" x14ac:dyDescent="0.35">
      <c r="A1" s="20">
        <v>4</v>
      </c>
      <c r="B1" s="21">
        <v>1767.0241940000001</v>
      </c>
    </row>
    <row r="2" spans="1:6" x14ac:dyDescent="0.35">
      <c r="A2" s="20">
        <v>13</v>
      </c>
      <c r="B2" s="21">
        <v>1869.6764519999999</v>
      </c>
    </row>
    <row r="3" spans="1:6" x14ac:dyDescent="0.35">
      <c r="A3" s="20">
        <v>12</v>
      </c>
      <c r="B3" s="21">
        <v>1947.6928230000001</v>
      </c>
    </row>
    <row r="4" spans="1:6" x14ac:dyDescent="0.35">
      <c r="A4" s="20">
        <v>11</v>
      </c>
      <c r="B4" s="21">
        <v>1987.4964520000001</v>
      </c>
    </row>
    <row r="5" spans="1:6" x14ac:dyDescent="0.35">
      <c r="A5" s="20">
        <v>15</v>
      </c>
      <c r="B5" s="21">
        <v>2086.835</v>
      </c>
      <c r="F5">
        <v>1984.089113</v>
      </c>
    </row>
    <row r="6" spans="1:6" x14ac:dyDescent="0.35">
      <c r="A6" s="20">
        <v>10</v>
      </c>
      <c r="B6" s="21">
        <v>2245.8097579999999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3371-13A7-4342-9C04-D4E4ACF101D8}">
  <dimension ref="A1:C8"/>
  <sheetViews>
    <sheetView workbookViewId="0">
      <selection activeCell="E19" sqref="E19"/>
    </sheetView>
  </sheetViews>
  <sheetFormatPr defaultRowHeight="18" x14ac:dyDescent="0.35"/>
  <cols>
    <col min="1" max="1" width="26.25" bestFit="1" customWidth="1"/>
  </cols>
  <sheetData>
    <row r="1" spans="1:3" ht="36" x14ac:dyDescent="0.35">
      <c r="A1" s="1" t="s">
        <v>3</v>
      </c>
      <c r="B1" s="2">
        <v>0.75</v>
      </c>
    </row>
    <row r="2" spans="1:3" x14ac:dyDescent="0.35">
      <c r="A2" t="s">
        <v>4</v>
      </c>
      <c r="B2">
        <v>100</v>
      </c>
      <c r="C2" t="s">
        <v>5</v>
      </c>
    </row>
    <row r="4" spans="1:3" x14ac:dyDescent="0.35">
      <c r="A4" t="s">
        <v>6</v>
      </c>
      <c r="B4">
        <f>B2/B1</f>
        <v>133.33333333333334</v>
      </c>
      <c r="C4" t="s">
        <v>5</v>
      </c>
    </row>
    <row r="5" spans="1:3" x14ac:dyDescent="0.35">
      <c r="A5" t="s">
        <v>7</v>
      </c>
      <c r="B5">
        <v>6</v>
      </c>
    </row>
    <row r="7" spans="1:3" x14ac:dyDescent="0.35">
      <c r="A7" t="s">
        <v>8</v>
      </c>
      <c r="B7">
        <f>B4*B5</f>
        <v>800</v>
      </c>
      <c r="C7" t="s">
        <v>10</v>
      </c>
    </row>
    <row r="8" spans="1:3" x14ac:dyDescent="0.35">
      <c r="A8" t="s">
        <v>9</v>
      </c>
      <c r="B8">
        <f>B2*B5</f>
        <v>600</v>
      </c>
      <c r="C8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692F-B931-4763-BDEE-C8BF51F8D2AE}">
  <dimension ref="A1"/>
  <sheetViews>
    <sheetView workbookViewId="0"/>
  </sheetViews>
  <sheetFormatPr defaultRowHeight="18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7535-4935-482D-B65F-297F5A9577F4}">
  <dimension ref="A1:B7"/>
  <sheetViews>
    <sheetView workbookViewId="0">
      <selection activeCell="B2" sqref="B2"/>
    </sheetView>
  </sheetViews>
  <sheetFormatPr defaultRowHeight="18" x14ac:dyDescent="0.35"/>
  <cols>
    <col min="1" max="1" width="12.33203125" bestFit="1" customWidth="1"/>
    <col min="2" max="2" width="18.9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14</v>
      </c>
      <c r="B2">
        <v>1767.0241940000001</v>
      </c>
    </row>
    <row r="3" spans="1:2" x14ac:dyDescent="0.35">
      <c r="A3">
        <v>13</v>
      </c>
      <c r="B3">
        <v>1869.6764519999999</v>
      </c>
    </row>
    <row r="4" spans="1:2" x14ac:dyDescent="0.35">
      <c r="A4">
        <v>12</v>
      </c>
      <c r="B4">
        <v>1947.6928230000001</v>
      </c>
    </row>
    <row r="5" spans="1:2" x14ac:dyDescent="0.35">
      <c r="A5">
        <v>11</v>
      </c>
      <c r="B5">
        <v>1987.4964520000001</v>
      </c>
    </row>
    <row r="6" spans="1:2" x14ac:dyDescent="0.35">
      <c r="A6">
        <v>15</v>
      </c>
      <c r="B6">
        <v>2086.835</v>
      </c>
    </row>
    <row r="7" spans="1:2" x14ac:dyDescent="0.35">
      <c r="A7">
        <v>10</v>
      </c>
      <c r="B7">
        <v>2245.8097579999999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685A-1C8B-48A4-9F9D-4A295CBEC610}">
  <dimension ref="A1:B7"/>
  <sheetViews>
    <sheetView workbookViewId="0">
      <selection activeCell="A2" sqref="A2:B7"/>
    </sheetView>
  </sheetViews>
  <sheetFormatPr defaultRowHeight="18" x14ac:dyDescent="0.35"/>
  <cols>
    <col min="1" max="1" width="12.6640625" bestFit="1" customWidth="1"/>
    <col min="2" max="2" width="18.9140625" bestFit="1" customWidth="1"/>
  </cols>
  <sheetData>
    <row r="1" spans="1:2" x14ac:dyDescent="0.35">
      <c r="A1" t="s">
        <v>2</v>
      </c>
      <c r="B1" t="s">
        <v>1</v>
      </c>
    </row>
    <row r="2" spans="1:2" x14ac:dyDescent="0.35">
      <c r="A2">
        <v>23</v>
      </c>
      <c r="B2">
        <v>8744.6274190000004</v>
      </c>
    </row>
    <row r="3" spans="1:2" x14ac:dyDescent="0.35">
      <c r="A3">
        <v>22</v>
      </c>
      <c r="B3">
        <v>8539.4071769999991</v>
      </c>
    </row>
    <row r="4" spans="1:2" x14ac:dyDescent="0.35">
      <c r="A4">
        <v>21</v>
      </c>
      <c r="B4">
        <v>8437.214113</v>
      </c>
    </row>
    <row r="5" spans="1:2" x14ac:dyDescent="0.35">
      <c r="A5">
        <v>24</v>
      </c>
      <c r="B5">
        <v>7853.5436289999998</v>
      </c>
    </row>
    <row r="6" spans="1:2" x14ac:dyDescent="0.35">
      <c r="A6">
        <v>20</v>
      </c>
      <c r="B6">
        <v>7602.7629029999998</v>
      </c>
    </row>
    <row r="7" spans="1:2" x14ac:dyDescent="0.35">
      <c r="A7">
        <v>1</v>
      </c>
      <c r="B7">
        <v>5048.0945970000002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old_Lifetime Generation</vt:lpstr>
      <vt:lpstr>Old_Project Lifetime Cost</vt:lpstr>
      <vt:lpstr>LCOE</vt:lpstr>
      <vt:lpstr>LCOE in two senarios</vt:lpstr>
      <vt:lpstr>References</vt:lpstr>
      <vt:lpstr>Sheet1</vt:lpstr>
      <vt:lpstr>Sheet3</vt:lpstr>
      <vt:lpstr>Sheet2</vt:lpstr>
      <vt:lpstr>Pumping</vt:lpstr>
      <vt:lpstr>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Bhatta</dc:creator>
  <cp:lastModifiedBy>Ashish Bhatta</cp:lastModifiedBy>
  <dcterms:created xsi:type="dcterms:W3CDTF">2025-08-03T01:24:30Z</dcterms:created>
  <dcterms:modified xsi:type="dcterms:W3CDTF">2025-11-23T11:11:28Z</dcterms:modified>
</cp:coreProperties>
</file>